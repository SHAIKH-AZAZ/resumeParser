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Dell\Desktop\AutoCAD\Resume_parser2\output\csv\"/>
    </mc:Choice>
  </mc:AlternateContent>
  <xr:revisionPtr revIDLastSave="0" documentId="13_ncr:9_{6F6A8DC3-C00F-4754-BE96-DDDBD7BC8805}" xr6:coauthVersionLast="47" xr6:coauthVersionMax="47" xr10:uidLastSave="{00000000-0000-0000-0000-000000000000}"/>
  <bookViews>
    <workbookView xWindow="-110" yWindow="-110" windowWidth="19420" windowHeight="10300" xr2:uid="{C3E9CDBF-F1F9-4425-A4C5-0F69FEA52D49}"/>
  </bookViews>
  <sheets>
    <sheet name="final_output" sheetId="1" r:id="rId1"/>
  </sheets>
  <calcPr calcId="0"/>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9" i="1" l="1"/>
  <c r="F29" i="1"/>
  <c r="F61" i="1"/>
  <c r="F69" i="1"/>
  <c r="F86" i="1"/>
  <c r="F87" i="1"/>
  <c r="F99" i="1"/>
  <c r="F111" i="1"/>
  <c r="F119" i="1"/>
  <c r="F122" i="1"/>
  <c r="F138" i="1"/>
  <c r="F140" i="1"/>
  <c r="F145" i="1"/>
  <c r="F146" i="1"/>
  <c r="F148" i="1"/>
  <c r="F153" i="1"/>
  <c r="F155" i="1"/>
  <c r="F169" i="1"/>
  <c r="F175" i="1"/>
  <c r="F176" i="1"/>
  <c r="F184" i="1"/>
  <c r="F187" i="1"/>
  <c r="F190" i="1"/>
  <c r="F205" i="1"/>
  <c r="F207" i="1"/>
  <c r="F215" i="1"/>
  <c r="F217" i="1"/>
  <c r="F225" i="1"/>
</calcChain>
</file>

<file path=xl/sharedStrings.xml><?xml version="1.0" encoding="utf-8"?>
<sst xmlns="http://schemas.openxmlformats.org/spreadsheetml/2006/main" count="2369" uniqueCount="1711">
  <si>
    <t>name_of_candidate</t>
  </si>
  <si>
    <t>birth_date</t>
  </si>
  <si>
    <t>marital_status</t>
  </si>
  <si>
    <t>permanent_address</t>
  </si>
  <si>
    <t>present_address</t>
  </si>
  <si>
    <t>contact_number</t>
  </si>
  <si>
    <t>email_id</t>
  </si>
  <si>
    <t>education</t>
  </si>
  <si>
    <t>total_years_of_experience</t>
  </si>
  <si>
    <t>experience_details</t>
  </si>
  <si>
    <t>district</t>
  </si>
  <si>
    <t>state</t>
  </si>
  <si>
    <t>gender</t>
  </si>
  <si>
    <t>pan_card</t>
  </si>
  <si>
    <t>aadhar_card</t>
  </si>
  <si>
    <t>preferred_job_location</t>
  </si>
  <si>
    <t>file_name</t>
  </si>
  <si>
    <t>Maheshwari Ajay</t>
  </si>
  <si>
    <t>21/12/1999</t>
  </si>
  <si>
    <t>Naranpar(Ravri),bhuj</t>
  </si>
  <si>
    <t>maheshwariaj800@gmail.com</t>
  </si>
  <si>
    <t>10th
Sheth j.p.&amp;l.s. high school-kera
2015</t>
  </si>
  <si>
    <t>1 year 7 months</t>
  </si>
  <si>
    <t>1) Global innovsource pvt. Ltd,mundra Adani port â€” Computer operator (July2023 - September2024)
   - Created gate passes for import/export containers. Performed MS Office and Excel tasks.
2) Government office of obc caste â€” Social welfare officer (September2024 - February2025)
   - Checked various social welfare forms (e.g., saat fera samuh lagan, kuvarbai mameru yojna, pandit din dayal aavas yojna).
3) Axis bank limited,bharasar â€” Sales officer 1 (2April -)
   - Conducted daily market visits for account opening. Provided customer service and built relationships.</t>
  </si>
  <si>
    <t>Bhuj</t>
  </si>
  <si>
    <t>Gujarat</t>
  </si>
  <si>
    <t>Male</t>
  </si>
  <si>
    <t>Maheshwari Ajay _1747842414995.pdf</t>
  </si>
  <si>
    <t>ASHISH KUMAR MISHRA</t>
  </si>
  <si>
    <t>+91 9616950840</t>
  </si>
  <si>
    <t>ashishmish351@gmail.com</t>
  </si>
  <si>
    <t>Diploma
Board of Technical Education (BTE)
2018</t>
  </si>
  <si>
    <t>6 Years 10 Months</t>
  </si>
  <si>
    <t>1) Grasim Industries â€” Junior engineer (Apr 2022 - Present)
   - Involved in shift supervision, manpower management, production planning, and equipment maintenance. Implemented 5s and Kaizen initiatives.
2) Sterlite Technologies â€” Process Associate (Jun 2020 - Mar 2022)
   - Managed shift supervision, product inspection, waste rejection, and manpower handling. Implemented 5s on the shop floor.
3) Sterlite Technologies â€” Diploma Engineer Trainee (Jun 2018 - Jun 2020)
   - Involved in optical fiber production and conducted quality control inspections of optical parameters.</t>
  </si>
  <si>
    <t>Veraval</t>
  </si>
  <si>
    <t>NAUKRI__ASHISH_KUMAR_MISHRA_1748365470303_ ASHISH KUMAR MISHRA.pdf</t>
  </si>
  <si>
    <t>Nimesh Soni</t>
  </si>
  <si>
    <t>nimeshsoni912@gmail.com</t>
  </si>
  <si>
    <t>Class XII (GSHSEB)
D.R. C.G. HIGH SCHOOL
2017</t>
  </si>
  <si>
    <t>3 years</t>
  </si>
  <si>
    <t xml:space="preserve">1) NK Industrial Services â€” H.R. Assistant (Jul 2020 - Dec 2022)
   - Monitored employee attendance across four sites; Assisted HR team with candidate interviews.
2) Nepal Friends Group â€” H.R. Assistant (Jun 2024 - Feb 2025)
   - Streamlined employee database for 12 companies; Prepared monthly EPF ECR Challan filings.
3)  â€” H.R. Assistant (Oct 2022 - Dec 2022)
   - </t>
  </si>
  <si>
    <t>Kutch</t>
  </si>
  <si>
    <t>NS-resume (1).pdf</t>
  </si>
  <si>
    <t>JADEJA PARAS SINH</t>
  </si>
  <si>
    <t>14/07/2005</t>
  </si>
  <si>
    <t>UNMARRIED</t>
  </si>
  <si>
    <t>Village: KUNDRODI, TA.: MUNDRA Dist: KUTCH</t>
  </si>
  <si>
    <t>pnjadeja10th@gmail.com</t>
  </si>
  <si>
    <t>i.t.i {C.O.P.A} Computer
I.T.I Gandhidham
2022</t>
  </si>
  <si>
    <t>1 year 3 months</t>
  </si>
  <si>
    <t xml:space="preserve">1) OIL FIELD WAREHOUSE &amp; SERVICES PVT LTD â€” WEIGHBRIDGE OPERATOR (18 august 2023 to 11/2024)
   - 
2) Gujarat Gas â€” Plant Operator (Currently Working)
   - </t>
  </si>
  <si>
    <t>KUTCH</t>
  </si>
  <si>
    <t>PARAS RESUME.pdf</t>
  </si>
  <si>
    <t>PRAYAG SINGH</t>
  </si>
  <si>
    <t>ANMARRIED</t>
  </si>
  <si>
    <t>VPO-Odhaaniya TEH.-Pokaran, Jaisalmer RAJASTHAN 345031</t>
  </si>
  <si>
    <t>prayagsinghbhati541@gmail.com</t>
  </si>
  <si>
    <t>4.7 years</t>
  </si>
  <si>
    <t xml:space="preserve">1) Shree Bhadriya Ray Enterprises â€” Supervisor Electrical (Jan 2022 to Current)
   - Supervised cable laying, termination, and installation of SCB, Inverter, ACDB, HT panels, and Transformers. Managed PV Module Stringing, earthing work, and conducted testing &amp; commissioning of SCB and Inverter.
2) M.S. DivyaElectroPowercompany â€” Supervisor-Electrical (Jan 2021 Jan 2022)
   - </t>
  </si>
  <si>
    <t>Jaisalmer</t>
  </si>
  <si>
    <t>RAJASTHAN</t>
  </si>
  <si>
    <t>MALE</t>
  </si>
  <si>
    <t>PRAYAG SINGH (2).pdf</t>
  </si>
  <si>
    <t>Vikash Gehlot</t>
  </si>
  <si>
    <t>15/04/2003</t>
  </si>
  <si>
    <t>Unmarried</t>
  </si>
  <si>
    <t>At Post Dehndi Vill. Jethda Dist. Shajapur Sub Dist. Shujalpur MP (465333)</t>
  </si>
  <si>
    <t>rajputvikash305@gmail.com</t>
  </si>
  <si>
    <t>Diploma in Refinery and Petrochemical (Chemical)
Govt. Polytechnic College Ujjain
2024</t>
  </si>
  <si>
    <t xml:space="preserve">1) CETP plant Ludhiana â€” PLC Operator (1 year)
   - </t>
  </si>
  <si>
    <t>Shajapur</t>
  </si>
  <si>
    <t>MP</t>
  </si>
  <si>
    <t>R2 (1) (1).pdf</t>
  </si>
  <si>
    <t>DUNGARKHIYA RAJ MUKESHBHAI</t>
  </si>
  <si>
    <t>GOKULVASH MANDVI-KUTCH Dist:-Kutch, Gujarat Pin:-370465</t>
  </si>
  <si>
    <t>mr2582740@gmail.com</t>
  </si>
  <si>
    <t>DIPLOMA (ELECTRICAL)
GTU
2023</t>
  </si>
  <si>
    <t>3 years 6 months</t>
  </si>
  <si>
    <t>1) HR TALENT SOLUTION PVT LTD â€” Electrical Technician (6 Months)
   - Performed basic electrical maintenance tasks.
2) Residential Wiring â€” Electrical Technician (12 Months)
   - Handled residential electrical wiring projects.
3) PATANJALI FOODS LIMITED â€” Electrical Maintenance Supervisor (2 Years)
   - Supervised electrical maintenance operations.</t>
  </si>
  <si>
    <t>RAJ.pdf</t>
  </si>
  <si>
    <t>Abhinash Sharma</t>
  </si>
  <si>
    <t>marriage</t>
  </si>
  <si>
    <t>Village. Arda, Post.Bhithera Disti. Basti (U.P) 272151</t>
  </si>
  <si>
    <t>abhinasher081@Gmail.Com</t>
  </si>
  <si>
    <t>2 years 9 months</t>
  </si>
  <si>
    <t>1) Oasis EPC Solution ltd kandla pord Gujarat â€”  (12/02/2019 to 25/01/2020)
   - 
2) Exemed Pharmaceutical Vapi â€”  (04/07/2022 to 11/09/2023)
   - 
3) Medley Pharmaceutical ltd. Daman â€” Supervisor Project Visit (25/09/2023 to Continue)
   - Supervised project visits, including machine fitting, assembly, and welding maintenance. Oversaw fire projects and HVAC panel installations.</t>
  </si>
  <si>
    <t>Basti</t>
  </si>
  <si>
    <t>Uttar Pradesh</t>
  </si>
  <si>
    <t>male</t>
  </si>
  <si>
    <t>resume 2.pdf</t>
  </si>
  <si>
    <t>Ronak J. Kukadiya</t>
  </si>
  <si>
    <t>19/06/1994</t>
  </si>
  <si>
    <t>Married</t>
  </si>
  <si>
    <t>1895, Thobhan Mehta Street, Near Kamnath Mahadev Mandir, Vadva, Bhavnagar, Gujarat-364001</t>
  </si>
  <si>
    <t>+91-7016399130, +91-9328288028</t>
  </si>
  <si>
    <t>ronaksoni4S3@gmail.com</t>
  </si>
  <si>
    <t>5 years 8 months</t>
  </si>
  <si>
    <t>1) SHETH BROTHERS â€” Production Engineer (Nov-2018 to April-2020)
   - Managed production shifts independently, including manpower and material planning. Monitored various production processes like filling, capping, and packing, ensuring desired quality parameters.
2) VERACITY ENERGY AND INFRASTRUCTURE PVT LTD â€” Jr. Production Engineer (May-2020 to April-2021)
   - Planned and oversaw the production of pre-engineered building components, optimizing workflows and maximizing output. Developed and implemented quality control processes to adhere to industry standards.
3) AQUAGRI PROCESSING PVT LTD â€” Production Supervisor (June-2021 to July-2022)
   - Identified product workflows and coordinated with other departments. Controlled inventory in and out of the warehouse, managed day-to-day manufacturing operations and conducted monthly stock-taking.
4) VISHAKHA RENEWABLES PVT LTD â€” Production Engineer (March-2023 To March-2025)
   - Supervised manufacturing processes, ensuring quality work in a safe and efficient manner. Analyzed production facets and made recommendations for improvement, while also preparing specifications for automation equipment.</t>
  </si>
  <si>
    <t>Bhavnagar</t>
  </si>
  <si>
    <t>Resume...pdf</t>
  </si>
  <si>
    <t>Kedar Rajput</t>
  </si>
  <si>
    <t>Kedarrajputo4@gmaicom</t>
  </si>
  <si>
    <t xml:space="preserve">Bectrica engine (B) - Gandhinagar institute of technology (2021)
</t>
  </si>
  <si>
    <t>2 years</t>
  </si>
  <si>
    <t>1) Airports authority of india, Bhuj â€” Data entry operator (2022 ~ 2023)
   - Resolved IT issues and managed service operations. Monitored employee performance.
2) Arvind Mills, Gandhinagar â€” Site engineer (2019-2019)
   - Supervised clothes manufacturing site. Created weekly reports.
3) 30 engineering skills, gandhidham â€” Junior PLC operator (2017-2017)
   - Resolved electrical problems. Provided plant maintenance.</t>
  </si>
  <si>
    <t>Gandhinagar</t>
  </si>
  <si>
    <t>Resume444.pdf</t>
  </si>
  <si>
    <t>AMAN KUMAR</t>
  </si>
  <si>
    <t>Village and Post Gura Barela Distt. Budaun U.P. (243631)</t>
  </si>
  <si>
    <t>7500315677 , 9528486408</t>
  </si>
  <si>
    <t>amank2001kumar@gmail.com</t>
  </si>
  <si>
    <t>High School
U.P. Board
2016</t>
  </si>
  <si>
    <t>Budaun</t>
  </si>
  <si>
    <t>U.P.</t>
  </si>
  <si>
    <t>RESUME_AMAN_KUMAR1_1706709554010_Aman Kumar (2).pdf</t>
  </si>
  <si>
    <t>Peerani ravabhai bhanabhai</t>
  </si>
  <si>
    <t>29/1/2000</t>
  </si>
  <si>
    <t>Nani khakhar Mandvi, Gujarat, 370435</t>
  </si>
  <si>
    <t>ravirajpirani4@gmail.com</t>
  </si>
  <si>
    <t>College
S.v.college mandvi, Kutchh University
2023</t>
  </si>
  <si>
    <t>3 years 4 months</t>
  </si>
  <si>
    <t>1) Vishakha solar ï¬lms private limited â€” Machine operator (Feb-2018 - Jun-2021)
   - Operated machinery in the production department.</t>
  </si>
  <si>
    <t>Kutchh</t>
  </si>
  <si>
    <t>Resume_Raviraj pirani_Format6-1.pdf</t>
  </si>
  <si>
    <t>ROHIT PAL</t>
  </si>
  <si>
    <t>11 Sep '02</t>
  </si>
  <si>
    <t>rohitpal6349@gmail.com</t>
  </si>
  <si>
    <t>Diploma in chemical engineering
Government Polytechnic Kanpur
2024</t>
  </si>
  <si>
    <t>0 years</t>
  </si>
  <si>
    <t xml:space="preserve">1) SRF Ltd â€”  (Sep 2024 â€” Present)
   - 
2) DAT Waste water treatment â€” Internship (Sep 2023 â€” Oct 2023)
   - </t>
  </si>
  <si>
    <t>Kanpur</t>
  </si>
  <si>
    <t>Rohit Pal .pdf</t>
  </si>
  <si>
    <t>SAVAN KANABHAI CHAVADA</t>
  </si>
  <si>
    <t>Un Married</t>
  </si>
  <si>
    <t>VILL-VAGURA ,POST-MUNDRA,DIST- KACHCHH- STATE-GUJARAT-370410</t>
  </si>
  <si>
    <t>ahirsavan790@gmail.com</t>
  </si>
  <si>
    <t xml:space="preserve">I.T.I (General Mechanic)
</t>
  </si>
  <si>
    <t>KACHCHH</t>
  </si>
  <si>
    <t>GUJARAT</t>
  </si>
  <si>
    <t>SAVAN KANABHAI CHAVADA.pdf</t>
  </si>
  <si>
    <t>Amar pal</t>
  </si>
  <si>
    <t>Single</t>
  </si>
  <si>
    <t>Vill -Churai Dalpatpur Tehsil -Meerganj Dist-Bareilly 243504</t>
  </si>
  <si>
    <t>amarpal032003@gmail.com</t>
  </si>
  <si>
    <t xml:space="preserve">Diploma in Chemical Engineering - Govt. Polytechnic Chandausi Sambhal (2023)
</t>
  </si>
  <si>
    <t>1 Year 04 Months</t>
  </si>
  <si>
    <t>1) Indian oil corporation limited Vadodara Gujarat refinery â€” Apprentice (20/06/2024 - 19/06/2025)
   - Gained experience in FCC Unit operations, including fractionation, reaction, heat exchange, and distillation columns. Assisted with various field activities and additional tasks as assigned.
2) Shivalik Rasayan Limited, Dehradun â€” Tr. Engineer -- Production (01/02/2024 - 31/05/2024)
   - Operated SS type and GLR type Reactors, managing the reaction section. Executed equipment and pump changeovers, and other field duties involving centrifugal pumps, disalters, and furnaces.</t>
  </si>
  <si>
    <t>Bareilly</t>
  </si>
  <si>
    <t>Shar Share Amar pal refinery apprentice experience resume (1) (2) (2) (1).pdf</t>
  </si>
  <si>
    <t>Sodha Prahladsinh Laxmansinh</t>
  </si>
  <si>
    <t>Village â€“ Dhamay, Tal â€“ Nakhatrana, Dist â€“ Kutch, Gujarat</t>
  </si>
  <si>
    <t>+91 9913628327</t>
  </si>
  <si>
    <t>sodha prahladsinh74@gmail.com</t>
  </si>
  <si>
    <t>H.S.C.
G.S.H.E.B.
2019</t>
  </si>
  <si>
    <t>5 years</t>
  </si>
  <si>
    <t>1) Jindal Saw Ltd â€” R.O. Plant Operator (06/05/2019 to 05/05/2020)
   - Operated and maintained R.O. Plant.
2) M/s. M.D. Equipments Pvt. Ltd. â€” Shearing &amp; Press Operator (10/05/2020 to till date)
   - Operated shearing and press machinery.</t>
  </si>
  <si>
    <t>Sodha Prahladsinh Laxmansinh.pdf</t>
  </si>
  <si>
    <t>SUMER SINGH</t>
  </si>
  <si>
    <t>MARRIED</t>
  </si>
  <si>
    <t>VPO-NARSINGON KI DHANI TEH.-FATEHGAD,JAISALMER RAJASTHAN 345001</t>
  </si>
  <si>
    <t>bannasumu@gmail.com</t>
  </si>
  <si>
    <t>DIPLOMA IN ELECTRICAL
BTER Jodhpur
2020</t>
  </si>
  <si>
    <t>5 years 7 Months</t>
  </si>
  <si>
    <t>1) TUV Rheinland â€” Electrical Engineer (April 2024 to Present)
   - Managed electrical connections, including AC/DC cable laying and PV module string wiring. Oversaw inverter AC &amp; DC charging processes and performed earth resistance testing.
2) Frist Meridian Business Services Limited â€”  (Nov.2023 to March 2024)
   - Assisted with installation and commissioning of DC/AC systems and modules. Responsible for cable laying schedule, routing, and termination work.
3) Ascent Engineer Electrification â€” Site Engineer (Jan.2023 to Nov.2023)
   - Planned and scheduled site activities, ensuring timely completion and quality standards. Managed manpower utilization and oversaw cable trench marking and excavation.
4) M.S. Construction company â€” Supervisor- Electrical (October 2021 To Dec.2022)
   - Supervised installation and erection of HT/LT panels, transformers, and inverters. Conducted transformer and HT panel testing and ensured equipment functionality.
5) Suzlon energy limited â€” technician (September 2020 to October 2021)
   - Performed maintenance tasks, including transformer oil filtration and 66KV TL line patrolling. Involved in troubleshooting and fault finding for wind turbine components.</t>
  </si>
  <si>
    <t>JAISALMER</t>
  </si>
  <si>
    <t>Sumer Singh CV-4.pdf</t>
  </si>
  <si>
    <t>Prashant Singh</t>
  </si>
  <si>
    <t>16/12/1998</t>
  </si>
  <si>
    <t>Vill- vikrampatti,P.O.-kabirpur Dist- Pratapgarh,U.P,India</t>
  </si>
  <si>
    <t>prashantsingh6114@gmail.com</t>
  </si>
  <si>
    <t>1) SUBROS LIMITED â€” Diploma Engineer (March 2023 â€“ February 2025)
   - Managed production activities including manpower planning, production scheduling, and quality control coordination. Spearheaded continual improvement projects, 5S implementation, and conducted on-job training for team members.</t>
  </si>
  <si>
    <t>Pratapgarh</t>
  </si>
  <si>
    <t>Thakur resume 11111.pdf</t>
  </si>
  <si>
    <t>Aman</t>
  </si>
  <si>
    <t>ihari, Post - Khamariya Tehsil-Milak ,District Rampur(U.P.)Pin-243701</t>
  </si>
  <si>
    <t>yman232694@email.com</t>
  </si>
  <si>
    <t>Diploma in Chemical Engineering
BTEUP
2025</t>
  </si>
  <si>
    <t>Rampur</t>
  </si>
  <si>
    <t>Untitled-1.pdf</t>
  </si>
  <si>
    <t>ADITYA VERMA</t>
  </si>
  <si>
    <t>adityaverma28031@gmail.com</t>
  </si>
  <si>
    <t>Master of Computer Application
Parul University
2024</t>
  </si>
  <si>
    <t>1.5 years</t>
  </si>
  <si>
    <t xml:space="preserve">1) Enlighten Infosystem â€”  (6 Months)
   - 
2) Adani Ports and SEZ â€”  (1 Year)
   - </t>
  </si>
  <si>
    <t>Aditya Verma resume-2.pdf</t>
  </si>
  <si>
    <t>ANURAG SINGH</t>
  </si>
  <si>
    <t>29/08/2002</t>
  </si>
  <si>
    <t>MO.Lodhinagar Fatehganj West Tehsil Meerganj Post Bhitaura District Bareilly Pincode 243501 Uttar Pradesh</t>
  </si>
  <si>
    <t>anuragsingh161615@gmail.com</t>
  </si>
  <si>
    <t>HIGHSCHOOL
UTTAR PRADESH BOARD
2017</t>
  </si>
  <si>
    <t>1 year 4 months</t>
  </si>
  <si>
    <t>1) B.L Agro industrial limited â€” Assistant Operator Shot Mix Assistant Production (15-12-2022 - 12-04-2023)
   - Assisted in production operations, specifically shot mix processes and general production tasks.
2) INDIAN FARMER FERTILIZER LIMITED KANDLA UNIT â€” PRODUCTION (22/08/2023 - 21/08/2024)
   - Operated Dimineralisation Plant with DCS panel; maintained log sheets and checked parameters. Produced DM water and handled various chemicals and solids.</t>
  </si>
  <si>
    <t>ANURAG SINGH (4).pdf</t>
  </si>
  <si>
    <t>Arif boliya</t>
  </si>
  <si>
    <t>9. chhasara.Mundara, 370421 mundara, India</t>
  </si>
  <si>
    <t>Nitbotiya22@zmailcom</t>
  </si>
  <si>
    <t xml:space="preserve">BBA in HR
</t>
  </si>
  <si>
    <t>2 years 6 months</t>
  </si>
  <si>
    <t xml:space="preserve">1) Aritel communication â€” Store assistant (part time) (Jul-2021 - Dec-2021)
   - 
2) ADANI â€” COMPUTER OPERATOr (Feb-2022-2024)
   - </t>
  </si>
  <si>
    <t>Mundara</t>
  </si>
  <si>
    <t>Arif boliya resume.pdf</t>
  </si>
  <si>
    <t>ARAYN RAWAT</t>
  </si>
  <si>
    <t>15/02/2003</t>
  </si>
  <si>
    <t>Sarvoday Ngar C.B Ganj Bareilly</t>
  </si>
  <si>
    <t>akkusingh323@gmail.com</t>
  </si>
  <si>
    <t>B.Tech.4thyear
M.J.P Rohilkhand,University,Bareilly
2025</t>
  </si>
  <si>
    <t>1) Indian Farmers Cooperative LTD.Aonla unit â€” Vocational Trainee ()
   - Completed vocational training in Urea Process department.
2) Indian Farmers Cooperative LTD.Aonla unit â€” Vocational Trainee ()
   - Completed vocational training in Ammonia Process department.
3) Dhampur Bio Organics Limited â€” Industrial Visitor ()
   - Participated in industrial visit.
4) B.L Agro Limited â€” Industrial Visitor ()
   - Participated in industrial visit.
5) Pasupati Acrylon Ltd. â€” Industrial Visitor ()
   - Participated in industrial visit.</t>
  </si>
  <si>
    <t>Aryan cv...pdf</t>
  </si>
  <si>
    <t>Chande Rahul Damjibhai</t>
  </si>
  <si>
    <t>30.03.2002</t>
  </si>
  <si>
    <t>Un-Married</t>
  </si>
  <si>
    <t>Village : Dumra Taluka : Abdasa Dist. Kutch, Gujarat- 370490</t>
  </si>
  <si>
    <t>63546 17853</t>
  </si>
  <si>
    <t>10th
G. S. E. B.
2025</t>
  </si>
  <si>
    <t>0.5 years</t>
  </si>
  <si>
    <t>1) BIPIN MARINE â€” SURVEYOR (6 Months)
   - Worked as a Surveyor at ASHTOSH CFS Mundra-Kutch.</t>
  </si>
  <si>
    <t>bio=data.pdf</t>
  </si>
  <si>
    <t>ARVIND DANICHA</t>
  </si>
  <si>
    <t>27th Jan, 2001</t>
  </si>
  <si>
    <t>Vill - Nani Tumbadi, ( Mundra - Kutch ) - 370435</t>
  </si>
  <si>
    <t>+91 63514 34018</t>
  </si>
  <si>
    <t>arvinddanicha27@gmail.com</t>
  </si>
  <si>
    <t>Bachelor Of Engineering
HJD institute - Kera
2023 - Running</t>
  </si>
  <si>
    <t>2.0 years</t>
  </si>
  <si>
    <t>1) Mundra Petrochemical â€” Computer Operator (Aug(2024) - Running)
   - Performed computer data entry for the Planning Department.
2) Maa Momay Construction â€” Supervisor (Apr(2024) - Aug(2024))
   - Supervised construction sites and managed manpower in the Planning department.
3) Global Impex - Mundra â€” Store Keeper &amp; Computer Operator (Sep(2023) - Apr(2024))
   - Managed stock and performed data entry in the computer system.
4) Mass Marine Services â€” Computer Operator (Jan(2023) - Aug(2023))
   - Executed data entry tasks using MS Office applications like Word and Excel.</t>
  </si>
  <si>
    <t>cv arvind.pdf</t>
  </si>
  <si>
    <t>Dhruvil Kumbhani</t>
  </si>
  <si>
    <t>Keshod</t>
  </si>
  <si>
    <t>+91 8511865296</t>
  </si>
  <si>
    <t>dhruvilkumbhani12@gmail.com</t>
  </si>
  <si>
    <t>1) Skaps Advance Composite Private limited â€” Supervisor (2023-Present)
   - Recruited, selected, oriented, and trained employees, ensuring efficient workflow. Coached, counseled, and disciplined staff, developing personal growth opportunities.
2) Abbacus Technology â€” Magento Developer (2022-2023)
   - Created and customized Magento themes and modules. Designed and coded user interfaces (UIs).</t>
  </si>
  <si>
    <t>Junagadh</t>
  </si>
  <si>
    <t>Dhruvil Kumbhani (1).pdf</t>
  </si>
  <si>
    <t>RAYMA HAMID</t>
  </si>
  <si>
    <t>24/04/2004</t>
  </si>
  <si>
    <t>Raymavandh kunriya jam Khavda Bhuj Kutch 370510</t>
  </si>
  <si>
    <t>hamidrayma03@gmail.com</t>
  </si>
  <si>
    <t>std12 Arts
Anjuman sarvjnik high school
2022</t>
  </si>
  <si>
    <t>Hamid rayma CV_20250714100352.pdf</t>
  </si>
  <si>
    <t>Haresh Maheshwari</t>
  </si>
  <si>
    <t>27th August.2000</t>
  </si>
  <si>
    <t>Maheshwari Vas. Behind Government Hospital Village:LAkhapar-Mundra Pin:370425 District: Kutch</t>
  </si>
  <si>
    <t>haresh.maheshwari321@gmail.com</t>
  </si>
  <si>
    <t>SSC
Sheth R.D High School Mundra
2016</t>
  </si>
  <si>
    <t>3 years 7 months</t>
  </si>
  <si>
    <t>1) Saurashtra Fuels Pvt Ltd. â€” Trainee Engineer (08-06-2021 to 22-07-2022)
   - Managed Coal Inward, Consumption, and Coke Production reports in Excel. Supported Gearbox and Motor Data Keeping.
2) Saurashtra Fuels Pvt Ltd. â€” Trainee Engineer (22-07-2022 to 01-07-2023)
   - Handled Stock Inward, Outward, and Consumption reporting. Performed E-Bike repairing and troubleshooting.
3) Saurashtra Fuels Pvt Ltd. â€” Trainee Engineer (01-07-2023 to 31-01-2025)
   - Managed E-Bike repairing and troubleshooting. Coordinated preventive maintenance tasks and supervised scrap handling. Managed daily progress reporting and data analysis.</t>
  </si>
  <si>
    <t>Haresh MAheshwari.pdf</t>
  </si>
  <si>
    <t>Jagdish Sorathiya</t>
  </si>
  <si>
    <t>July 6,1996</t>
  </si>
  <si>
    <t>SATYAM STREET NAGOR BHUJ KUTCH</t>
  </si>
  <si>
    <t>jagdishsorathiya96@gmail.com</t>
  </si>
  <si>
    <t>DIPLOMA in MECHANICAL ENGG.
G.T.U
2018</t>
  </si>
  <si>
    <t>2.5 years</t>
  </si>
  <si>
    <t xml:space="preserve">1) Adani Solar- Mundra Solar PV Ltd â€” Diploma trainee engineer (1.5 years)
   - 
2) Gujarat Water Supply &amp; Sewerage Board â€” Apprentice Engineer (1 year)
   - </t>
  </si>
  <si>
    <t>jagdish(CV)-converted_converted_by_abcdpdf-converted.pdf</t>
  </si>
  <si>
    <t>abhinasher081@gmail.com</t>
  </si>
  <si>
    <t>1) Oasis EPC Solution ltd â€” Supervisor (12/02/2019 to 25/01/2020)
   - Assisted in machine fitting, assembly, and welding maintenance. Contributed to fire project and general maintenance activities.
2) Exemed Pharmaceutical â€” Supervisor (04/07/2022 to 11/09/2023)
   - Participated in installation of tablet compression and packing machines. Involved in HVAC panel fitting and assembly.
3) Medley Pharmaceutical ltd. â€” Supervisor Project Visit (25/09/2023 to Continue)
   - Supervised project visits, including machine fitting, assembly, and welding maintenance. Managed fire projects and installation of tablet compression and HVAC panels.</t>
  </si>
  <si>
    <t>Abhishek Producation suoervisor.pdf</t>
  </si>
  <si>
    <t>Bachelor Of Computer Application
S.R.K Institute Kutch University
2020</t>
  </si>
  <si>
    <t>Baroda</t>
  </si>
  <si>
    <t>Aditya Verma IT.pdf</t>
  </si>
  <si>
    <t>AMAN Diploma Chemical.pdf</t>
  </si>
  <si>
    <t>Arjun Singh</t>
  </si>
  <si>
    <t>20/A, Mangalam Society Navavas, Madhapar Bhuj Kachchh-370001</t>
  </si>
  <si>
    <t>+91 9023946787 / 9978567969</t>
  </si>
  <si>
    <t>arjun213singh@gmail.com</t>
  </si>
  <si>
    <t>S.S.C
CBSE
2012</t>
  </si>
  <si>
    <t>1) ICICI Bank â€” Sales Officer (2019-2021)
   - Achieved revenue targets; Expanded client networks.
2) Cholamandalam Investment &amp; Finance Company â€” Associate Regional Manager (2021-2023)
   - Managed zones with effective strategy; Captured new clients and maximized growth opportunities.
3) Mahindra &amp; Mahindra Finance â€” Junior Sales Officer (2023-Current)
   - Followed up diligently on leads and customers; Generated new income streams with analytical abilities.</t>
  </si>
  <si>
    <t>Kachchh</t>
  </si>
  <si>
    <t>Arjun Sing_Sales.pdf</t>
  </si>
  <si>
    <t>B.Tech.
M.J.P Rohilkhand University, Bareilly
2025</t>
  </si>
  <si>
    <t>1) Indian Farmers Cooperative LTD.Aonla unit â€” Vocational Trainee (B.Tech) ()
   - Received training in Urea Process department.
2) Indian Farmers Cooperative LTD.Aonla unit â€” Vocational Trainee (Diploma) ()
   - Received training in Ammonia Process department.</t>
  </si>
  <si>
    <t>Aryan BE Engineer.pdf</t>
  </si>
  <si>
    <t>BHARAT SINGH</t>
  </si>
  <si>
    <t>21/06/2006</t>
  </si>
  <si>
    <t>UN-MARRIED</t>
  </si>
  <si>
    <t>VPO-MAHESHO KI DHANI TEH.-POKARAN ,JAISALMER RAJASTHAN 345023</t>
  </si>
  <si>
    <t>bharatsabhati52@gmail.com</t>
  </si>
  <si>
    <t>10th
RBSE Ajmer
2022</t>
  </si>
  <si>
    <t>1.4 Month</t>
  </si>
  <si>
    <t>1) SSB ENTERPRISES,RAMPUR CHOK â€” Project Leader (Jan. 2024 To till now)
   - Managed AC/DC cable laying for inverters and PV modules. Ensured proper electrical connections, Voc, and performed continuity/megger tests.</t>
  </si>
  <si>
    <t>Bharat Technician Solar site.pdf</t>
  </si>
  <si>
    <t>Madev Ahir</t>
  </si>
  <si>
    <t>kakarva - bhachau (Kutch)</t>
  </si>
  <si>
    <t>darshan apartment opp. Jubilee ground, Bhuj â€“ Kutch Pin: 370 001</t>
  </si>
  <si>
    <t>madevahir7@gmail.com</t>
  </si>
  <si>
    <t>Master of Arts
KRANTIGURU SHYAMJI KRISHNA VERMA KUTCH UNIVERSITY
2025</t>
  </si>
  <si>
    <t>1 year</t>
  </si>
  <si>
    <t>1) Ahir Auto â€” Office Assistant (MAY 2022 â€“ APR 2023)
   - Assisted with office operations and administrative tasks.</t>
  </si>
  <si>
    <t>Madev Ahir_Sup.pdf</t>
  </si>
  <si>
    <t>Sodha Nirmalsinh Nimsinh</t>
  </si>
  <si>
    <t>24/05/2005</t>
  </si>
  <si>
    <t>At. Post â€“ Navi Dhamay Nakhatrana â€“ Kutch - 370605</t>
  </si>
  <si>
    <t>sodhanirmalsinh47@gmail.com</t>
  </si>
  <si>
    <t>S.S.C
G.S.E.B
2020</t>
  </si>
  <si>
    <t>2 Year</t>
  </si>
  <si>
    <t xml:space="preserve">1) Agrocell Pvt Ltd â€” salt washery plant operator &amp; supervisor (2 Year)
   - </t>
  </si>
  <si>
    <t>Nirmal Sodha_12thSup.pdf</t>
  </si>
  <si>
    <t>Vill- vikrampatti, P.O.-kabirpur Dist- Pratapgarh, U.P, India</t>
  </si>
  <si>
    <t>Diploma in Mechanical Engineering Automobile
Govt. Polytechnic College Pratapgarh
2020</t>
  </si>
  <si>
    <t>2 Years</t>
  </si>
  <si>
    <t>1) SUBROS LIMITED â€” Diploma Engineer / Apprentiship Trainee (March 2023 to February 2025)
   - Managed production operations, including planning, manpower allocation, and quality control. Led 5S, Kaizen, and continual improvement projects, and provided training to team members.</t>
  </si>
  <si>
    <t>Prashant Producation Engineer.pdf</t>
  </si>
  <si>
    <t>1) Shree Bhadriya Ray Enterprises â€” Supervisor Electrical (Jan 2022 to Current)
   - Supervised PV Module Stringing, Combiner Box Installation, and Termination. Managed testing and commissioning of SCB and Inverter.
2) M.S. DivyaElectroPowercompany â€” Supervisor-Electrical (Jan 2021 to Jan 2022)
   - Supervised DCC able Laying, Lugging and Termination at SCB, Inverter and LT panel. Ensured completion of earthing work for Grid and equipment.</t>
  </si>
  <si>
    <t>Rajasthan</t>
  </si>
  <si>
    <t>PRAYAG Supervisor solar site.pdf</t>
  </si>
  <si>
    <t>Chande Rahul</t>
  </si>
  <si>
    <t>1) BIPIN MARINE â€” SURVEYOR (6 Months)
   - Performed surveying tasks at ASHTOSH CFS Mundra-Kutch.</t>
  </si>
  <si>
    <t>Rahul Computer operator.pdf</t>
  </si>
  <si>
    <t>1) Vishakha solar ï¬lms private limited â€” Machine operator (Feb-2018 - Jun-2021)
   - Operated production machinery; Contributed to production department operations.</t>
  </si>
  <si>
    <t>Mandvi</t>
  </si>
  <si>
    <t>Raviraj pirani Production.pdf</t>
  </si>
  <si>
    <t>VILLAGE-NARSINGON KI DHANI , TEH- FATEHGAD,DIST-JAISALMER ,345001 (Raj)</t>
  </si>
  <si>
    <t>1) TUV Rheinland â€” Electrical Engineer (April 2024 to tell now)
   - Managed AC/DC cable laying, electrical connections, string monitoring, and inverter charging processes. Executed installation, erection, and testing of HT/LT panels, transformers, and inverters.
2) Frist Meridian Business Services Limited â€”  (Nov.2023 to March 2024)
   - Managed AC/DC cable laying, electrical connections, string monitoring, and inverter charging processes. Executed installation, erection, and testing of HT/LT panels, transformers, and inverters.
3) Ascent Engineer Electrification â€” Site Engineer (Jan.2023 to Nov.2023)
   - Managed AC/DC cable laying, electrical connections, string monitoring, and inverter charging processes. Executed installation, erection, and testing of HT/LT panels, transformers, and inverters.
4) M.S. Construction company â€” Supervisor- Electrical (October 2021 To dec.2022)
   - Managed AC/DC cable laying, electrical connections, string monitoring, and inverter charging processes. Executed installation, erection, and testing of HT/LT panels, transformers, and inverters.
5) Active management services -operation &amp; maintenance :-Suzlon energy limited â€” technician (September 2020 to October 2021)
   - Assisted in installation &amp; commissioning of module, DC/AC systems. Performed cable laying, tying, gland &amp; termination work, and structure tightness checks.</t>
  </si>
  <si>
    <t>Sumer Singh Engineer.pdf</t>
  </si>
  <si>
    <t>Ankit Kumar Rathod</t>
  </si>
  <si>
    <t>27th May, 1995</t>
  </si>
  <si>
    <t>At/P. O Anjar, Bansari villa P.S Anjar, Dist.- Kachchh Gujarat, PIN- 370110</t>
  </si>
  <si>
    <t>ankitrathodjsg@gmail.com</t>
  </si>
  <si>
    <t>10th
D.A.V Public school
2010</t>
  </si>
  <si>
    <t>8 years</t>
  </si>
  <si>
    <t>1) NBC Construction Pvt. Ltd. â€” Assistant Accountant (January, 2017 to June, 2019)
   - Managed accounting tasks including purchase/sales entries, GST/TDS. Performed cash, bank, and ledger reconciliation, and followed up on debtor payments.
2) Fortune Shipping Services Pvt Ltd â€” Accounts Executive (July 1, 2019 to 31 March 2023)
   - Managed accounting tasks including purchase/sales entries, GST/TDS. Performed cash, bank, and ledger reconciliation, and followed up on debtor payments.
3) Vidhi Enterprise (Coal Trader) â€” Senior Accounts Executive (April 3, 2023 to March 31, 2025)
   - Managed accounting tasks including purchase/sales entries, GST/TDS. Performed cash, bank, and ledger reconciliation, and followed up on debtor payments.
4) Fortune Shipping Private Limited â€” Senior Accounts Executive (April 1,2025)
   - Managed accounting tasks including purchase/sales entries, GST/TDS. Performed cash, bank, and ledger reconciliation, and followed up on debtor payments.</t>
  </si>
  <si>
    <t>Ankit Rathod.pdf</t>
  </si>
  <si>
    <t>Danicha Rajesh</t>
  </si>
  <si>
    <t>Village: Ramaniya, Mundra, Gujarat, 370405, India</t>
  </si>
  <si>
    <t>Danicharajesh7@gmail.com</t>
  </si>
  <si>
    <t>8.5 years</t>
  </si>
  <si>
    <t>1) Adani power plant ltd â€” Conveyor belt, bunker operator (December 01, 2014 - December 16, 2018)
   - Operated and monitored conveyor belt and bunker systems.
2) Tata power plant ltd â€” Conveyor belt, bunker operator (December 16, 2019 - December 16, 2021)
   - Managed conveyor belt and bunker operations for material handling.
3) Vishakha solar films private ltd â€” Slitting Operator (December 17, 2021 - Present)
   - Performed slitting operations on films.</t>
  </si>
  <si>
    <t>Mundra</t>
  </si>
  <si>
    <t>Danicha-rajesh.pdf</t>
  </si>
  <si>
    <t>Jay Parmar</t>
  </si>
  <si>
    <t>Vadodara, India</t>
  </si>
  <si>
    <t>+91 7600498275</t>
  </si>
  <si>
    <t>jayprmr54@gmail.com</t>
  </si>
  <si>
    <t>Bachelor's Degree, Computer Science and Engineer
GSFC UNIVERSITY
2025</t>
  </si>
  <si>
    <t>1) IBM SkillBuild â€” Intern (06/2024 â€“ 07/2024)
   - Designed AI/ML models for predictive analytics and NLP solutions using IBM Watson and cloud platforms. Acquired hands-on experience in deep learning, model tuning, and data-driven decision-making.
2) AeonX Digital Solutions Private Limited â€” AIML Intern (12/2023 â€“ 01/2024)
   - Created a Stock Market Forecast &amp; Visualization platform with Streamlit and Yfinance data for trend forecasting. Helped develop a PaLM-based chatbot, augmenting conversational AI with cutting-edge NLP methods.
3) YBI Foundation â€” AIML Intern (12/2024 â€“ 12/2024)
   - Developed AI/ML models for predictive analytics and NLP applications using IBM Watson and cloud tools. Gained hands-on experience in deep learning, model optimization, and data-driven decision-making.</t>
  </si>
  <si>
    <t>Vadodara</t>
  </si>
  <si>
    <t>Jay Parmar_AIMLFresher.pdf</t>
  </si>
  <si>
    <t>KISHAN KUMAR GAUR</t>
  </si>
  <si>
    <t>1st July, 2003</t>
  </si>
  <si>
    <t>+91 9727991483</t>
  </si>
  <si>
    <t>kishangaur160962@gmail.com</t>
  </si>
  <si>
    <t>B.Tech - Computer Engineering
Marwadi University
2025</t>
  </si>
  <si>
    <t>1) Adani Ports &amp; Special Economic Zone Ltd. â€” Intern (17th Jan,2025 â€“ 17th April, 2025)
   - Gained knowledge on managing server infrastructure, network configuration, and troubleshooting. Developed understanding of Data Center operations, security protocols, and IT infrastructure management.</t>
  </si>
  <si>
    <t>Kishan_CV.pdf</t>
  </si>
  <si>
    <t>Kunal Singh Parihar</t>
  </si>
  <si>
    <t>20-10-2005</t>
  </si>
  <si>
    <t>Jindal Gate No. 1 Vill Samaghoga Mundra- Kutch Gujarat Pin 370815</t>
  </si>
  <si>
    <t>Jindal Gate No 2. Vill-Samaghoga City = Mundra District Kutch Gujarat Pin:-370 423</t>
  </si>
  <si>
    <t>kunalbhai507@gmail.com</t>
  </si>
  <si>
    <t>H.S.C. (12th Commerce)
N.I.O.S Board
2023</t>
  </si>
  <si>
    <t>1) adani Wiimar Limited â€”  (16-12-2022 To till The Date)
   - Managed vehicle operations and commercial logistics planning, utilizing SAP &amp; TEG. Handled billing, invoicing, and dispatch documentation for both domestic and international shipments.</t>
  </si>
  <si>
    <t>Kunal Singh Parihar .pdf</t>
  </si>
  <si>
    <t>NILESH J. RAVAL</t>
  </si>
  <si>
    <t>03.06.1984</t>
  </si>
  <si>
    <t>H. NO. â€“ 22, RADHANAGAR SOCIETY, ANJAR ADIPUR HIGHWAY, MEGHPAR (KUMBHARADI), ANJAR. KUTCH â€“ GUJARAT.</t>
  </si>
  <si>
    <t>+91 97268 24184</t>
  </si>
  <si>
    <t>nileshraval3984@gmail.com</t>
  </si>
  <si>
    <t xml:space="preserve">Bachelor of Commerce
G. B. Shah Commerce College
</t>
  </si>
  <si>
    <t>17 years</t>
  </si>
  <si>
    <t>1) M. R. Shah Logistics Pvt. Ltd. â€” Assistant Manager / Senior HR (From 17/07/2017 to Till date)
   - Managed HR operations including staff attendance, leave records, and salary processing (PF, PT). Handled recruitment via online portals, banking work, and rent agreements.
2) TRISTAR SECURITY PVT. LTD. â€” HR cum Branch Operation Executive (From 01/05/2006 to 28/02/2017)
   - Managed HR operations for approximately 300 employees across 19 clients, including invoicing, salary releases, and collections. Focused on client relationship management, compliance, and recruitment.</t>
  </si>
  <si>
    <t>Nilesh Raval_HR.pdf</t>
  </si>
  <si>
    <t>SAIYED NURULAIN MOINUDDIN</t>
  </si>
  <si>
    <t>601B AL-FALAH APARTMENT RAMPURA PETROL PUMP SURAT 395003</t>
  </si>
  <si>
    <t>SAIYEDNURULAEN@GMAIL.COM</t>
  </si>
  <si>
    <t>Diploma in Engineering
GTU TAPI DIPLOMA ENGG COLLEGE
2024</t>
  </si>
  <si>
    <t xml:space="preserve">1) SUMAN CHEMICAL ENGINEERING â€” Intern ()
   - 
2) AUM INDUSTRY â€” Intern ()
   - </t>
  </si>
  <si>
    <t>SURAT</t>
  </si>
  <si>
    <t>Nurulâ€™s resume.pdf</t>
  </si>
  <si>
    <t>REEMA KUSHWAHA</t>
  </si>
  <si>
    <t>Vill-Katai,Deoriya, UP- 274001.</t>
  </si>
  <si>
    <t>Reemakushwaha19@gmail.com</t>
  </si>
  <si>
    <t>DIPLOMA IN MECHANICAL(AUTOMOBILE) ENGINEERRING
GOVT. POLYTECHNIC- PRATAPGARH
2023</t>
  </si>
  <si>
    <t>Less than 1 year</t>
  </si>
  <si>
    <t>1) DAIKIN AIR-CONDITIONING INDIA Pvt. Ltd. â€” DET (AUGUST, 2023 - Present)
   - Inspected various parts (Sheet, Metal, Copper, Moulding, Motor, PCB) and made quality decisions based on control outlines. Ensured shop floor safety, handled manpower, and implemented quality methodologies like Six Sigma, CAPA, Kaizen, and 5S.</t>
  </si>
  <si>
    <t>Deoriya</t>
  </si>
  <si>
    <t>UP</t>
  </si>
  <si>
    <t>Reema Kushwaha.pdf</t>
  </si>
  <si>
    <t>SAGARKUMAR JETHI</t>
  </si>
  <si>
    <t>16/08/1999</t>
  </si>
  <si>
    <t>F-26/27 Happy Homes Society, Gokuldham Road, Navavas, Madhapar, Bhuj- Kutch, Gujarat â€“ 370020</t>
  </si>
  <si>
    <t>jethisagar1999@gmail.com</t>
  </si>
  <si>
    <t>BE
Veerayatan Institute of Engineering
2021</t>
  </si>
  <si>
    <t>3+ years</t>
  </si>
  <si>
    <t>1) TATA Thermal Power Plant (in association with Power Mech Projects Ltd) â€” Electrical Engineer (18th April 2024 â€“ Present)
   - Attends troubleshooting and breakdowns, handles manpower deployment, and oversees electrical equipment operation. Skilled in motor control systems and preventive maintenance of VCBs, transformers, and HT/LT motors.
2) Shree Renuka Sugars Ltd (Wilmar Group) â€” Electrical Engineer (20th March 2023 â€“ 12th April 2024)
   - Attends troubleshooting and breakdowns, handles manpower deployment, and oversees electrical equipment operation. Skilled in motor control systems and preventive maintenance of VCBs, transformers, and HT/LT motors.
3) Agrocel Industries Pvt. Ltd. â€” Electrical Engineer (9th December 2021 â€“ 9th December 2022)
   - Attends troubleshooting and breakdowns, handles manpower deployment, and oversees electrical equipment operation. Skilled in motor control systems and preventive maintenance of VCBs, transformers, and HT/LT motors.</t>
  </si>
  <si>
    <t>Sagar Jethi.pdf</t>
  </si>
  <si>
    <t>Shaktisinh Jadeja</t>
  </si>
  <si>
    <t>At: Deshalpar (Kanthi), Post: Bhujpur, Ta: Mundra, Dist: Kachchh-370 405</t>
  </si>
  <si>
    <t>S.h.jadeja4647@gmail.com</t>
  </si>
  <si>
    <t>4 years</t>
  </si>
  <si>
    <t>1) M/S R.C. Sharma Contractor â€” Field Supervisor (July 2021 - July 2025)
   - Supervised field operations at JINDAL SAW LTD (IPU) Samaghogha.</t>
  </si>
  <si>
    <t>Saktisih Jadeja.pdf</t>
  </si>
  <si>
    <t>Shyam Ji Mishra</t>
  </si>
  <si>
    <t>married</t>
  </si>
  <si>
    <t>Vill: Sonauri P.O. Dhakhara Distt. Rewa State: - M.P. Pin Code : - 486226</t>
  </si>
  <si>
    <t>shyamjimishra097@gmail.com</t>
  </si>
  <si>
    <t>Diploma in Electronics &amp; Telecommunications Engg.
RGPV Bhopal
2015</t>
  </si>
  <si>
    <t>1) Flash Electronics â€”  (Two years)
   - 
2) Mundra Solar Technopark â€”  (One years)
   - 
3) WIND WORLD INDIA LIMITED â€”  (February 2019 to 2020February)
   - 
4) Inox wind infrastructure services limited â€”  (23 February 2020 to 4 may 2023)
   - 
5) Suzlon global services limited â€” Sr. Engineer (O&amp;M) (5 may 2023 to Till Date)
   - Module line maintenance; Operation of 2.0MW wind turbine generators; Managing troubleshooting and preventive breakdown maintenance of WTG; Detection and rectification of PLC-based faults.</t>
  </si>
  <si>
    <t>Rewa</t>
  </si>
  <si>
    <t>M.P.</t>
  </si>
  <si>
    <t>shyam ji mishra solar.pdf</t>
  </si>
  <si>
    <t>TOFAN SINGH</t>
  </si>
  <si>
    <t>Budaun, Uttar Pradesh</t>
  </si>
  <si>
    <t>ttanyasne@gmail.com</t>
  </si>
  <si>
    <t>Chemical Trade
BIEUP
2015</t>
  </si>
  <si>
    <t>1) NCE BIOENERGY LIMITED INDORE MP â€” Operator (Contract) (February 2023 - Present)
   - Operated and managed pressure adsorption plant.
2) RAMAGUNDAM FERTILIZERS AND CHEMICALS LIMITED TELANGANA â€” Operator (Contract) (January 2022 - January 2023)
   - Worked on ammonia and urea heat recovery steam generation.
3) INDIA GLYCOLS LIMITED KASHIPUR UTTRAKHAND â€” Operator (Contract) (June 2021 - February 2022)
   - Operated glycol ether plant; involved in commissioning, handling Reactor, Pumps, Heat Exchangers, Compressors, Boiler.
4) Indian Oil Corporation Ltd Gujarat Refinery â€” Apprentice (January 2020 - February 2021)
   - Worked in crude reforming unit; performed operation &amp; maintenance of Pumps, Compressors, Heat Exchangers.</t>
  </si>
  <si>
    <t>Tofan sing.pdf</t>
  </si>
  <si>
    <t>AJEET YADAV</t>
  </si>
  <si>
    <t>Vill. Devrawa Post. Kaptanganj Dist. Kushinagar Pin code. 274301</t>
  </si>
  <si>
    <t>ajeetyadav19905@gmail.com</t>
  </si>
  <si>
    <t>10th
UP BOARD
2022</t>
  </si>
  <si>
    <t>1) N.E. RAILWAY, GORAKHPUR â€” Summer Trainee - Mechanical Workshop (17/08/2024 to 14/09/2024)
   - Gained elaborate knowledge of various mechanical equipment and processes; improved overall capability and productivity.</t>
  </si>
  <si>
    <t>Kushinagar</t>
  </si>
  <si>
    <t>Ajeet.pdf</t>
  </si>
  <si>
    <t>ANKONA BISWAS</t>
  </si>
  <si>
    <t>ankonabiswas@gmail.com</t>
  </si>
  <si>
    <t>Diploma In Mechatronics Engineering
AICTE MSME Technology Centre
2024</t>
  </si>
  <si>
    <t>1) Ahresty India Pvt Ltd â€” Production Planning and Control (PPC) (Sept 24, 2024 - Present)
   - Developed effective production schedules and managed material requirements and inventory. Utilized SAP for production planning and control.</t>
  </si>
  <si>
    <t>Female</t>
  </si>
  <si>
    <t>Ankona Biswas.pdf</t>
  </si>
  <si>
    <t>1) Grasim Industries â€” Junior engineer (Apr 2022 - Present)
   - Supervised shifts and manpower, managed production planning and equipment maintenance, implemented 5s and Kaizen.
2) Sterlite Technologies â€” Process Associate (Jun 2020 - Mar 2022)
   - Supervised shifts, conducted product inspection and waste rejection, handled manpower, implemented 5s.
3) Sterlite Technologies â€” Diploma Engineer Trainee (Jun 2018 - Jun 2020)
   - Involved in optical fiber production and quality control, inspecting optical parameters.</t>
  </si>
  <si>
    <t>Ashish Mishra.pdf</t>
  </si>
  <si>
    <t>CHUIYA PRAKASH</t>
  </si>
  <si>
    <t>22/04/1996</t>
  </si>
  <si>
    <t>Maheshwari vas Samaghogha, Kutch, Gujarat 370415</t>
  </si>
  <si>
    <t>8238792852, 6352866681</t>
  </si>
  <si>
    <t>prakashchuiya043@gmail.com</t>
  </si>
  <si>
    <t xml:space="preserve">10th
GSEB Gandhinagar
</t>
  </si>
  <si>
    <t>9 years</t>
  </si>
  <si>
    <t>1) Ashapura Minchem Limited, Baraya (Kutch) â€” Operator (Production) (05/09/2018 - 2024)
   - Operated mill, crushing, and screening machinery, overseeing material and manpower handling. Achieved production targets and maintained plant safety.
2) Britannia company Adani port size Mundra â€” Packaging Machine Operator (01/02/2015 - 01/02/2016)
   - Operated packaging machinery for biscuit sizing, ensuring efficient and accurate product packaging and labeling. Managed various packaging equipment.
3) Jindal Saw Ltd (Nana kapaya) â€” Welder (Apprentice) (March 2013 - July 2015)
   - Performed welding and cutting duties as an apprentice. Maintained adherence to all plant safety standards.</t>
  </si>
  <si>
    <t>CHUIYA_PRAKASH (CV)...pdf</t>
  </si>
  <si>
    <t>Himanshu Patel</t>
  </si>
  <si>
    <t>25/01/1997</t>
  </si>
  <si>
    <t>Surat, Gujarat</t>
  </si>
  <si>
    <t>himanshupatel6006@gmail.com</t>
  </si>
  <si>
    <t xml:space="preserve">BE Engineering- Automobile - Gujarat Technological University (2020)
</t>
  </si>
  <si>
    <t>3 years 9 months</t>
  </si>
  <si>
    <t>1) Mahindra to Mahindra â€” Senior Inventory Executive (12/2024 â€“ present)
   - Managed quality management systems, 5's marking, SOP, FIFO, FEFO knowledge for warehouse operations. Oversaw purchase materials &amp; supplies and risk control matrices.
2) Ashok Leyland â€” Inventory Executive (03/2024 â€“ 11/2024)
   - Responsible for stock management, reporting, and SAP system operations. Monitored supply chain, analyzed logistic costs, and managed vendor relationships.
3) Maruti Suzuki â€” Body &amp; Paint Shop Technician (01/2021 â€“ 12/2023)
   - Executed TIG, MIG, and Gas welding, along with body and paint repair techniques. Conducted vehicle inspections, managed floor control, and ensured safety protocols.</t>
  </si>
  <si>
    <t>Surat</t>
  </si>
  <si>
    <t>Himanshuâ€™s resume.pdf</t>
  </si>
  <si>
    <t>MANOJ GHOSH</t>
  </si>
  <si>
    <t>Vill Khag Baikunthapur Po := Panchal, PS :- Sonamukhi, Dist - Bankura, West Bengal-722157</t>
  </si>
  <si>
    <t>manoj.khag8330@gmail.com</t>
  </si>
  <si>
    <t>High School
W.B.B.S.E
2009</t>
  </si>
  <si>
    <t>7 years</t>
  </si>
  <si>
    <t xml:space="preserve">1) PETROPATH FLUIDS (INDIA) PVT.LTD. â€” ETP Trainee Operator (17/07/2016 to 25/12/2017)
   - 
2) MARUTI SUZUKI INDIA LTD., HARYANA â€” Assembly Operator (20/01/2018 to 19/08/2018)
   - 
3) KOHLER INDIA CORP.PVT.LTD., GIDC JHAGADIA â€” Production Operator (25/06/2019 to 29/06/2024)
   - 
4) DARAMIIC BATTERY SEPARATOR INDIA PVT.LTD., GIDC DAHE! â€” Production Operator (Since 01st July-2024 to till date.)
   - </t>
  </si>
  <si>
    <t>Bankura</t>
  </si>
  <si>
    <t>West Bengal</t>
  </si>
  <si>
    <t>Manojâ€™s resume.pdf</t>
  </si>
  <si>
    <t>NIKHIL KUMAR SINGH</t>
  </si>
  <si>
    <t>Vitta Vibhag Colony, Khajpura Phase -2, Plot No.-A/30, Patna-800014</t>
  </si>
  <si>
    <t>gmail.com</t>
  </si>
  <si>
    <t>Post Diploma in Industrial Automation
TATA Steel Technical Institute, Jamshedpur
2024</t>
  </si>
  <si>
    <t>6 years</t>
  </si>
  <si>
    <t xml:space="preserve">1) S.K AUTOMOBILE â€” Helper (1.5 Years)
   - 
2) Varroc Engineering Pvt. Ltd â€” Assembly Line Operator (2 Years)
   - 
3) Essel PropacK Limited â€” Quality Checking (1 Year)
   - 
4) Geo Vista Technologies â€” Surveyor (10 Months)
   - 
5) Wistron Infocomm Manufacturing (India) Private Limited â€” Apprenticeship (8 Months)
   - 
6) Swastid Engineering Pvt. Ltd â€” Quality Inspector (Currently Working)
   - </t>
  </si>
  <si>
    <t>Patna</t>
  </si>
  <si>
    <t>Bihar</t>
  </si>
  <si>
    <t>Nikhil Kumarâ€™s resume.pdf</t>
  </si>
  <si>
    <t>Rehan Mehboob Arab</t>
  </si>
  <si>
    <t>Lic kvater, viswakarma mandir,jestha nagar,bhuj- kachchh</t>
  </si>
  <si>
    <t>rehanarab184@gmail.com</t>
  </si>
  <si>
    <t>M com
Kachchh University
2025</t>
  </si>
  <si>
    <t>Rehan Arab.pdf</t>
  </si>
  <si>
    <t>Kukadya Ronak Jayeshbhai</t>
  </si>
  <si>
    <t>Bachelor in Production Engineering
Shantilal Shah Engineering College
2018</t>
  </si>
  <si>
    <t>5 years 9 months</t>
  </si>
  <si>
    <t>1) SHETH BROTHERS â€” Production Engineer (Nov-2018 to Apr-2020)
   - Managed shift operations, including manpower handling and material planning. Monitored production processes like bottle filling and packing, ensuring quality standards were met. Prepared daily production reports and updated various production data.
2) VERACITY ENERGY AND INFRASTRUCTURE PVT LTD â€” Jr. Production Engineer (May-2020 to Apr-2021)
   - Planned, organized, and oversaw the production of pre-engineered building components. Optimized workflows to minimize downtime and maximized output efficiency. Developed and implemented quality control processes adhering to industry standards.
3) AQUAGRI PROCESSING PVT LTD â€” Production Supervisor (June-2021 to July-2022)
   - Coordinated product workflow with other departments and managed day-to-day manufacturing operations. Controlled inventory in and out of the warehouse, including monthly inventory and stock-taking.
4) VISHAKHA RENEWABLES PVT LTD â€” Production Engineer (March-2023 To March-2025)
   - Supervised manufacturing processes, ensuring quality work in a safe and efficient manner. Analyzed production facets and made recommendations for improvement. Planned, procured, organized, and maintained test equipment and materials.</t>
  </si>
  <si>
    <t>Ronak Kukadiya.pdf</t>
  </si>
  <si>
    <t>AHESAN MOHHAMMAD GULAM NABI SHAIKH</t>
  </si>
  <si>
    <t>24/05/1983</t>
  </si>
  <si>
    <t>AHESAN G. SHAIKH C/O.866,Sonar kui, Ganipur, Saji talawadi, Dholka, 387810.</t>
  </si>
  <si>
    <t>AHESAN G. SHAIKH C/O.A-35, Ground Flooor New Anand Nagar, Nr. Maruti Nagar, Behind Sewashram Road, Panch Batti, Bharuch, 392001.</t>
  </si>
  <si>
    <t>9909995913 / 9974434786</t>
  </si>
  <si>
    <t>shaikhag.120e@rediffmail.com, shaikhag.120e@gmail.com</t>
  </si>
  <si>
    <t>B.Sc. Chemistry
Gujarat University
2004</t>
  </si>
  <si>
    <t>14 years</t>
  </si>
  <si>
    <t>1) VIKRAM RICINOL DERIVATIVES LTD. â€” Production operator (July 04 to Nov. 05)
   - Managed batch operations via SCADA PLC, maintained SAP cycles. Focused on safety, process control, cost optimization, and documentation for various chemical processes.
2) CONCORD BIOTECH LTD. â€” Production Chemist (Dec 05 to Nov07)
   - Managed batch operations via SCADA PLC, maintained SAP cycles. Focused on safety, process control, cost optimization, and documentation for various chemical processes.
3) SOLARIS CHEMTECH LTD. â€” Production Associate (Dec 07 To Nov 09)
   - Managed batch operations via SCADA PLC, maintained SAP cycles. Focused on safety, process control, cost optimization, and documentation for various chemical processes.
4) ALEMBIC LTD. â€” Production executive (DEC 09 to Dec 11)
   - Managed batch operations via SCADA PLC, maintained SAP cycles. Focused on safety, process control, cost optimization, and documentation for various chemical processes.
5) Lupin LTD. â€” Sr Production Officer (Jan 12 to Aug 14)
   - Managed batch operations via SCADA PLC, maintained SAP cycles. Focused on safety, process control, cost optimization, and documentation for various chemical processes.
6) PI Industries LTD. â€” Sr Supervisor (Aug 14 to till date)
   - Managed batch operations via SCADA PLC, maintained SAP cycles. Focused on safety, process control, cost optimization, and documentation for various chemical processes.</t>
  </si>
  <si>
    <t>Bharuch</t>
  </si>
  <si>
    <t>saroâ€™s resume.pdf</t>
  </si>
  <si>
    <t>Shivam Kumar</t>
  </si>
  <si>
    <t>Vill+Post:-JiroliHeeraSingh Dist-Aligarh (202121)</t>
  </si>
  <si>
    <t>Shivamthakur3435@gmail.com</t>
  </si>
  <si>
    <t>Diploma in Chemical Engineering
Government Polytechnic, Budaun
2023</t>
  </si>
  <si>
    <t>1 year 6 months</t>
  </si>
  <si>
    <t>1) BVC Specialities Private Ltd. â€” FG Officer (Production) (17 MARCH 2025 to Continue)
   - Managed drum, carbouy, IBC filling and tanker operations. Prepared daily stock reports, SAP entries, and monthly blending/packing summaries.
2) GHARDA CHEMICALS LIMITED â€” Jr. Engineer (Production) (01 July 2024 to 08 March 2025)
   - Conducted hydro tests on pipelines, tanks, and reactors. Operated various reactors, valves, pumps, and managed chemical handling for TBN/TBAC Plant.
3) ADANI HAZIRA LIQUIED TERMINAL. â€” Supervisor Liquied Terminal and Tank Farm (10 October 2023 to 30 June 2024)
   - Managed receipt, storage, and dispatch of products and chemicals. Oversaw tank truck loading/unloading, sampling, gauging, and tank cleaning operations.</t>
  </si>
  <si>
    <t>Aligarh</t>
  </si>
  <si>
    <t>SHIVAM .pdf</t>
  </si>
  <si>
    <t>Variya Dharmesth</t>
  </si>
  <si>
    <t>Prajapati Vas, Nr. ADC Bank, Moraiya Ta. ~ Sanand, Dist. - Ahmedabad. Gujarat- 382213</t>
  </si>
  <si>
    <t>variyadharmesth0S11@gmail.com</t>
  </si>
  <si>
    <t>1) HARSHA ENGINEERS INTERNATIONAL LTD, CHAGODAR. â€” CNC Machine Operator (05/03/2014 TO Present)
   - Operated Manual VLT M/C &amp; JYOTI MAKE VTL CNC M/C with SIEMENCE CONTROLLER. Managed CNC Machine related problems, cycle, tool offset, jaw setting, and maintenance.
2) PRECISION BEARINGS PVT LTD. â€” Training (Machine Operating) ()
   - Received training in machine operating.</t>
  </si>
  <si>
    <t>Ahmedabad</t>
  </si>
  <si>
    <t>Variyaâ€™s resume.pdf</t>
  </si>
  <si>
    <t>Amit Patel</t>
  </si>
  <si>
    <t>Vadodara, Gujarat</t>
  </si>
  <si>
    <t>+91 96620 52090</t>
  </si>
  <si>
    <t>patel7661@gmail.com</t>
  </si>
  <si>
    <t>Diploma in Mechanical Engineering
Gujarat Technlogical University
2011</t>
  </si>
  <si>
    <t>1) Gujarat gas ltd(kaveri energy pvt ltd) â€” Operation &amp; Maintenance Incharge (August 2022 to Present)
   - Maintained records of all inspections, maintenance tasks, and repairs. Regularly reviewed O&amp;M plan and reported on progress.
2) Gujarat Gas â€” Operation &amp; Maintenance Supervisor (June 2018 to July 2022)
   - Ensured the safe, efficient, and reliable operation of the pipeline system. Involved in routine maintenance, inspections, troubleshooting, and emergency response.
3) CEAT Ltd â€” Production Engineer (April 2013 to May 2018)
   - Performed regular production studies and machine analysis for quality and process improvement. Managed production planning, focusing on TBR stock, Bead Winding &amp; Bead Apexing, and scrap reduction.</t>
  </si>
  <si>
    <t>Amitâ€™s resume.pdf</t>
  </si>
  <si>
    <t>Anshik</t>
  </si>
  <si>
    <t>25th September 2001</t>
  </si>
  <si>
    <t>P.O. &amp; P.S. - Digboi (Assam) PIN â€“ 786171</t>
  </si>
  <si>
    <t>anshikdey695@gmail.com</t>
  </si>
  <si>
    <t xml:space="preserve">1) Indian Oil Corporation Limited (AOD) Digboi Refinery â€” Trade Apprentice â€“ Attendant Operator (Chemical plant) Discipline â€“ Chemical (12 Months)
   - </t>
  </si>
  <si>
    <t>Digboi</t>
  </si>
  <si>
    <t>Assam</t>
  </si>
  <si>
    <t>Anshikâ€™s resume.pdf</t>
  </si>
  <si>
    <t>Anupam Dubey</t>
  </si>
  <si>
    <t>22-07-1996</t>
  </si>
  <si>
    <t>CT-20,NearSantoshiMandir, Turra,Pipri,Sonbhadra.</t>
  </si>
  <si>
    <t>Village-Deebar,Post-Panauli, Ghorawal,Sonbhadra(U.P.)231215.</t>
  </si>
  <si>
    <t>8874371336, 7565918787</t>
  </si>
  <si>
    <t>anupam.rkt001@gmail.com</t>
  </si>
  <si>
    <t>1) Hero MotoCorp Ltd. â€” Technician/Operator (2015-2016)
   - 
2) CRI Pumps Pvt Ltd. â€” Technician/Operator (2017-2018)
   - 
3) Grasim Industries Ltd. â€” Apprentice (SBP Plant) (2020-2021)
   - 
4) Sigachi Industry Limited (GACL) â€” Operator/Technician (12/04/2021 - Present)
   - Handling all SBP Plant operations.</t>
  </si>
  <si>
    <t>Sonbhadra</t>
  </si>
  <si>
    <t>ANUPAMâ€™s resume.pdf</t>
  </si>
  <si>
    <t>DAMBHALIYA MOTI LAKHANBHAI</t>
  </si>
  <si>
    <t>Bharvad vas zamp zamp, sanand, Ahmedabad 382110</t>
  </si>
  <si>
    <t xml:space="preserve">ITI FITTER - GOVERNMENT ITI SANAND (2015)
</t>
  </si>
  <si>
    <t>1) Tata motors â€” Apprentice (2016-2017)
   - Worked in doors assembly line.
2) MAXXIS Rubber india â€” Machine Operator (2017)
   - 
3) Tata Autocomp gotion gr energy Solutions limited â€” Assembly Line Operator ()
   - Performed wedge calibration and shorting in module assembly; Involved in Pack Assembly.
4) MOORE Pipe â€” Assistant Technician Machine Operator (2024 - present)
   - Operated tong machines; Possesses strong operational knowledge.</t>
  </si>
  <si>
    <t>Dambhaliyaâ€™s resume.pdf</t>
  </si>
  <si>
    <t>DHARMSHI MAHESHWARI</t>
  </si>
  <si>
    <t>Asmbiya Mota, Tal- Mnadvi-Kutch, Gujarat-370485</t>
  </si>
  <si>
    <t>+91 8238584845</t>
  </si>
  <si>
    <t>mr.dharmshi@gmail.com</t>
  </si>
  <si>
    <t>B.A (Bachelor of Art)
Kranti guru Shyamji Krishna Verma Kachchh University
2012</t>
  </si>
  <si>
    <t>10 years 8 months</t>
  </si>
  <si>
    <t>1) M/s. INNVSOURCES SERVICES PVT LTD (As agent of M/s. ADANI PORTS &amp; SEZ LTD) â€” Vessel Dispatcher / Yard Planning (January 2025 to Till Date)
   - Performed vessel stowage planning, resolved EDI and vessel bay plan discrepancies. Managed yard allocations for various container types (Import, Export, Transshipment, IMDG, ODC). Monitored Quay commander to prevent clashes and optimize crane operations.
2) M/s. Kandla International Container Terminal Pvt Ltd â€” Tower Controller / Yard Planning (October 2021 to December 2024)
   - Planned vessel and yard activities, optimizing space and resources to meet customer requirements. Coordinated with vessel officers for cargo stowage, monitored operations, and ensured timely resolution of EDI discrepancies.
3) M/s. Kandla International Container Terminal Pvt Ltd â€” Documentation Operations (November 2018 to October 2021)
   - Ensured adherence to system requirements in documentation, customer service, and MIS. Managed import/export documentation, including IAL/EAL discrepancies and customs permissions. Prepared daily/monthly reports such as Berthing, Throughput, and container damage EIR.
4) M/s. Kandla International Container Terminal Pvt Ltd â€” ICD-Rail Operations (2016 to December 2024)
   - Managed ICD-Rail operations, including system updates for SMTP/Rail Pre-advice and dispatching information. Handled inbound/outbound rail operations and generated daily volume and pendency reports.
5) M/s. Kandla International Container Terminal Pvt Ltd â€” Gate Operations (November 2016 to October 2018)
   - Managed gate-in/out processes, verifying forms and customs permissions for containers. Prepared daily reports including truck turnaround, and coordinated overall yard operations and container delivery.
6) GLOBAL INNVSOURCES PVT LTD (As agent for ADANI PORTS &amp; SEZ LTD) â€” Gate Operations (May 2014 to November 2016)
   - Responsible for managing general gate operations, including container movement control and associated procedures.</t>
  </si>
  <si>
    <t>Dharmshi Maheshwari.pdf</t>
  </si>
  <si>
    <t>DHRUV RAVAL</t>
  </si>
  <si>
    <t>RAMPURA KHERALU El MaHesANA, GUJARAT 384130</t>
  </si>
  <si>
    <t>dhruvraval43@gmail.com</t>
  </si>
  <si>
    <t>4 years, 1 month</t>
  </si>
  <si>
    <t xml:space="preserve">1) SARASWATI ENGINEERING TUITION CLASSES â€” TEACHER (12/2020- 10/2023)
   - 
2) PANAMAX INFOTECH PVT LTD â€” CUSTOMER SUCCESS ENGINEER NOC DEPT (12/2023 -01/2025)
   - </t>
  </si>
  <si>
    <t>Mahesana</t>
  </si>
  <si>
    <t>Dhruvâ€™s resume.pdf</t>
  </si>
  <si>
    <t>1) Airports authorty of india, Bhuj â€” Data entry operator (2022 ~ 2023)
   - Solved IT-related problems and managed incoming/outgoing data. Monitored employee performance.
2) Arvind Mills, Gandhinagar â€” Site engineer (2019-2019)
   - Supervised manufacturing site; Created weekly reports.
3) 30 engineering skills, Gandhidham â€” Junior PLC operator (2017-2017)
   - Solved electrical problems; Provided maintenance to equipment.</t>
  </si>
  <si>
    <t>Kedar Rajput.pdf</t>
  </si>
  <si>
    <t>Mahesh Hemraj Maheshwari</t>
  </si>
  <si>
    <t>18th August 2004</t>
  </si>
  <si>
    <t>Mafat Nagar, Faradi Tal. Mandvi, Kachchh Gujarat-370435</t>
  </si>
  <si>
    <t>+91 72840 67288</t>
  </si>
  <si>
    <t>maheshmaheshwari531@gmail.com</t>
  </si>
  <si>
    <t>Industrial Fire &amp; Safety Course
Industrial Training Institute -Bhuj
2025</t>
  </si>
  <si>
    <t>Mahesh Maheshwari.pdf</t>
  </si>
  <si>
    <t>Chuiya Sunil Pachanbhai</t>
  </si>
  <si>
    <t>20/06/1992</t>
  </si>
  <si>
    <t>Maheshwari was, Samaghogha , Ta-Mundra Dist-Kutch, (Gujrat) Pin-370415</t>
  </si>
  <si>
    <t>chuiyasunil@gmail.com</t>
  </si>
  <si>
    <t>S.S.C
G.S.E.B
2011</t>
  </si>
  <si>
    <t>1) principal senior civil court Mundra â€” Contract base office assistant (June 2022 to June 2024)
   - Assisted in office operations as a contract-based assistant.</t>
  </si>
  <si>
    <t>Gujrat</t>
  </si>
  <si>
    <t>Sunil Resume.pdf</t>
  </si>
  <si>
    <t>UMESH CHANDRA</t>
  </si>
  <si>
    <t>UnMarried</t>
  </si>
  <si>
    <t>Village BHIKIYASEN PO. BHIKIYASEN DIST ALMORA (UTTARAKHAND)</t>
  </si>
  <si>
    <t>7456071066, 6397029812</t>
  </si>
  <si>
    <t>MAGNUSGOSWAMI@GMAIL.COM</t>
  </si>
  <si>
    <t>10TH
UTTARAKHAND
2014</t>
  </si>
  <si>
    <t>1) INDIAN OIL CORPORATION LIMITED â€” technician apprentice chemical (27-01-2022 to 26-01-2023)
   - Completed one year training as a Technician Apprentice Chemical at Bongaigaon Refinery (Assam).
2) MEGICRETE CHEMICAL INDUSTRY PVT. LMT. â€” Junior Engieer (From Dec 2024 - Present)
   - Currently working as a Junior Engineer in a Lime Calcination Plant, Khinwsar (Rajasthan).</t>
  </si>
  <si>
    <t>ALMORA</t>
  </si>
  <si>
    <t>UTTARAKHAND</t>
  </si>
  <si>
    <t>Umeshâ€™s resume.pdf</t>
  </si>
  <si>
    <t>VAIBHAV A. GOLWAD</t>
  </si>
  <si>
    <t xml:space="preserve">Diploma
</t>
  </si>
  <si>
    <t xml:space="preserve">1) Ball Aerosol Packaging India Pvt Ltd â€” Jr. Specialist Extrusion Press ()
   - </t>
  </si>
  <si>
    <t>Vaibhavâ€™s resume.pdf</t>
  </si>
  <si>
    <t>vanraj sinhâ€™s resume.pdf</t>
  </si>
  <si>
    <t>ANKIT CHATURVEDI</t>
  </si>
  <si>
    <t>18th May, 2002</t>
  </si>
  <si>
    <t>ankitchaube27919@gmail.com</t>
  </si>
  <si>
    <t>10th
UP Board
2017</t>
  </si>
  <si>
    <t>1) WELSPUN INDIA LTD â€” Commercial ()
   - Responsible for customer inquiry &amp; service, coordinating with production and quality teams. Managed export documentation, freight negotiations, invoicing, and MIS/Sales Report creation.</t>
  </si>
  <si>
    <t>GONDA</t>
  </si>
  <si>
    <t>Ankit Chaturvedi.pdf</t>
  </si>
  <si>
    <t>Ankitkumar Rameshbhai Maheshwari</t>
  </si>
  <si>
    <t>25th June 2003</t>
  </si>
  <si>
    <t>+91 83477 05274</t>
  </si>
  <si>
    <t>ankitmaheshwari1125@gmail.com</t>
  </si>
  <si>
    <t>Electronics Mechanic (NSQF)
Industrial Training Institute -Bhuj
2022</t>
  </si>
  <si>
    <t>1) Adani Solar, Mundra â€” Stringer Operator (Apprenticeship) (25th November 2022 â€“ 25th November 2023)
   - Operated and adjusted stringing machines for production, troubleshooting issues, and maintaining quality standards.
2) Manpower Group Services India Pvt. Ltd. â€” Associate - Trainee (13th January 2024 â€“ 24th July 2024)
   - Assisted in solar panel manufacturing and assembly, conducted quality control checks, and optimized workflow efficiency.</t>
  </si>
  <si>
    <t>Ankit Maheshwari.pdf</t>
  </si>
  <si>
    <t>Dinesh Gori</t>
  </si>
  <si>
    <t>10th April, 1988</t>
  </si>
  <si>
    <t>Mira road, Thane, Maharashtra</t>
  </si>
  <si>
    <t>+91 8080707024</t>
  </si>
  <si>
    <t>dinesh.gori2014@gmail.com</t>
  </si>
  <si>
    <t>Master of Business Administration - (MBA) Specialization in Operation management.
DY Patil University
Present</t>
  </si>
  <si>
    <t>14+ Years</t>
  </si>
  <si>
    <t>1) ASSET RECONSTRUCTION COMPANY INDIA LIMITED â€” Branch Manager (DMS Head) (Oct, 2024 - Till today)
   - Managed financial operations and internal compliance. Coordinated with banks for bad loan acquisition, handled customer queries, and audited documents. Oversaw people, admin, vendor, project, and travel management.
2) HDFC BANK LIMITED â€” Manager (Jun, 2023 - July, 2024)
   - Managed import/export, payment, collection, and credit operations as per trade finance descriptions. Handled team, coordinated with RMs, resolved customer queries, and ensured RBI compliance. Maintained proper transaction records and audited processes.
3) INDUSIND BANK LIMITED â€” Chief Manager (May, 2022 - May, 2023)
   - Managed trade finance operations, including LC - Import/Export/Payment/Collection/Credit, and internal compliance. Conducted testing for trade software development and automation. Handled teams and coordinated with individual branches.
4) TATA CONSULTANCY SERVICES â€” Operation / Customer services Manager (CITIBANK UAE) (Feb., 2018 - May, 2022)
   - Managed operational and customer services for Citibank UAE. Conducted system testing for trade software and handled teams to ensure internal compliance. Processed various swift messages related to trade finance.
5) TATA CONSULTANCY SERVICES â€” Senior Team member / Client Services Person (CITIBANK CANADA) (Sept., 2017 - Feb., 2018)
   - Handled all trade transactions and processing for Citibank Canada. Gained comprehensive understanding of the total trade cycle and various trade applications.
6) TATA CONSULTANCY SERVICES â€” Processer / Maker (CITIBANK N.A., USA) (Aug., 2013 - Aug., 2017)
   - Scrutinized, verified, and authorized letters of credit for Citibank N.A. Ensured transactions were processed within defined TAT and checked swift messages. Liaised with customers and ensured compliance with UCP and internal policies.
7) Me Cure Industries (RLS INDIA) â€” Export Executive and Admin (Jan, 2010 - Aug, 2013)
   - Handled pre &amp; post-export documents, including Bill of Lading, Shipping Bill, FIRC, and BRC. Coordinated with overseas clients for outstanding payments. Managed administration for the Mumbai location, including attendance, payroll, and contract management.</t>
  </si>
  <si>
    <t>Thane</t>
  </si>
  <si>
    <t>Maharashtra</t>
  </si>
  <si>
    <t>Dinesh Gori.pdf</t>
  </si>
  <si>
    <t>HARDIK SHAILESH JOSHI</t>
  </si>
  <si>
    <t>12th May 1989</t>
  </si>
  <si>
    <t>959, KAILASH NAGAR, BHUJ, KUTCH, GUJARAT.</t>
  </si>
  <si>
    <t>959, Kailash Nagar â€œShyam Madhavâ€ Bhuj â€“ Kutch</t>
  </si>
  <si>
    <t>98988 27840</t>
  </si>
  <si>
    <t>hardik12589@gmail.com</t>
  </si>
  <si>
    <t>9 years 8 months</t>
  </si>
  <si>
    <t>1) BAJAJ FINANCE LTD â€” Sales executive (10th Nov 2014 to 22nd Feb 2016)
   - Handled Used car product all processes. Achieved FANTASTIC performance and awards.
2) MF PROCESS &amp; SOLUTIONS PVT LTD â€” Field Officer (1st Jul 2016 to 6th Apr 2017)
   - Handled commercial vehicle, contraction equipment &amp; card loan processes.
3) BAJAJ FINANCE LTD â€” Assistant Branch Sales Manager (10th Apr 2017 to 2nd Apr 2018)
   - Handled SAL PL and mortgage loan with Team. Achieved House Of Achievers.
4) MANAPPURAM FINANCE LTD â€” Relationship Manager (4th Apr 2018 to 20th Aug 2018)
   - Handled commercial vehicle loan all processes.
5) INDIA INFO LINE FINANCE CO LTD / Indo Star Capital Finance Ltd â€” Relationship Manager (6th Sep 2018 to 25th Nov 2019)
   - Managed commercial vehicle loan process and cross-sold products like GL, HL.
6) INDUSIND BANK LTD â€” Deputy Manager (2nd Dec 2019 to 10th May 2023)
   - Handled commercial vehicle loan process &amp; Cross sold products (GL, HL, CASA, FD) including credit, operation, sales, and back office work.
7) KOTAK MAHINDRA BANK LTD â€” Relationship Manager (17th July 2023 to 12th Jan 2024)
   - Handled commercial vehicle loan process &amp; Cross sell products like GL, HL, CASA.
8) AXIS BANK LTD â€” Sales Manager (1st Feb 2024 to 30th Jul 2024)
   - Handled auto loan for new and used vehicles.
9) Ambit Finvest Pvt Ltd â€” Senior Sales Manager (5th Aug 2024 to 3rd Apr 2025)
   - Handling used vehicle finance for CAR, SCV, LCV, ICV, M&amp;HCV &amp; JCB.</t>
  </si>
  <si>
    <t>Hardik Joshi CV.pdf</t>
  </si>
  <si>
    <t>Himal Soni</t>
  </si>
  <si>
    <t>Sadau, mundra , 370421 Mundra (India)</t>
  </si>
  <si>
    <t>(+91) 9898628725</t>
  </si>
  <si>
    <t>Bachelor of Arts (B.A)
Current</t>
  </si>
  <si>
    <t>1 year 1 month</t>
  </si>
  <si>
    <t xml:space="preserve">1) Mundra port â€” RMGC crane operator (04/04/2023 â€“ Current)
   - </t>
  </si>
  <si>
    <t>Himal soni cv.pdf</t>
  </si>
  <si>
    <t>Imran Sumra</t>
  </si>
  <si>
    <t>Kakkar,Khavda,khavda Kachchh Gujarat-370510</t>
  </si>
  <si>
    <t>imransumra811@gmail.com</t>
  </si>
  <si>
    <t>10th
GSHEB
2020</t>
  </si>
  <si>
    <t>1) JPM Auto Industries â€” Fitter (basic knowledge of automobiles) ()
   - Actively worked as a fitter in the assembly process of electric heavy trailers. Performed alignment and fitting of mechanical components with high-precision tools.
2) White Rann Resort â€” Front Office Trainee ()
   - Handled guest check-in &amp; check-out and managed booking &amp; reservation system. Updated guest records and provided solutions to billing and guest queries.
3) Archean Chemical Industries Pvt Ltd â€” Weight Bridge Computer Operator ()
   - Maintained vehicle weight records (incoming &amp; outgoing) and performed data entry/slip printing from Weighbridge software. Prepared transport documents (challan, weight slips, gate pass) and daily reports for supervisor.</t>
  </si>
  <si>
    <t>Imran Sumra.pdf</t>
  </si>
  <si>
    <t>PANKAJ KUMAR SINGH</t>
  </si>
  <si>
    <t>20TH Dec 1986</t>
  </si>
  <si>
    <t>Plot No. 40/2 Green City Madhapar- 370020, KUTCH</t>
  </si>
  <si>
    <t>pankaj.singh4545@gmail.com</t>
  </si>
  <si>
    <t>BBA
DELHI
2012</t>
  </si>
  <si>
    <t>8 Years</t>
  </si>
  <si>
    <t>1) Vodafone â€” Tele-communication Department Role (3 Years)
   - 
2) Electro soft Company and Online Freelancer â€”  (2 Years)
   - 
3) AGS TRANSACT TECHNOLOGY â€” Automation Engineer (1 Year)
   - 
4) PINELABS â€” Automation Engineer, Service Engineer (2 Yrs)
   - Designed, integrated, and maintained consolidated network services (firewalls, routers, switches). Collaborated with network engineering for architecture planning and technical standards.</t>
  </si>
  <si>
    <t>Pankaj singh.pdf</t>
  </si>
  <si>
    <t>Parag Vaja</t>
  </si>
  <si>
    <t>Gandhidham, Gujarat</t>
  </si>
  <si>
    <t>vaja.parag@gmail.com</t>
  </si>
  <si>
    <t>B.E. Mechanical Engineering
L.D. College of Engineering
2008</t>
  </si>
  <si>
    <t>16 years</t>
  </si>
  <si>
    <t>1) Tirupati Reels Pvt. Ltd. (Group of Polycab India Ltd.) â€” PPC Senior Manager (26 Dec 2024 â€“ Present)
   - Prepared master Production Plans based on MTO &amp; MTS orders. Executed Raw Material Planning and monitored OTIF/OTD. Developed internal software for real-time RM consumption &amp; order status tracking.
2) Schmetz India Pvt. Ltd. â€” Production Planning Manager (1 May 2024 â€“ 5 Dec 2024)
   - Managed monthly, weekly, and daily production planning. Responsible for raw material, packing material, and tools requirement planning. Conducted on-job training and developed technical training modules.
3) Electrotherm India Ltd. (Auto Division) â€” PPC Manager (5 Feb 2016 â€“ 25 Apr 2024)
   - Daily production and planning for electric vehicles assembly. Performed Advance Material Requirement Planning and managed SAP MM &amp; PP functional work. Maintained MIN &amp; MAX stocks and handled job work material with vendors.
4) AMW Motors Ltd., Bhuj â€” Deputy Manager â€“ PPC (30 Jun 2008 â€“ 30 Nov 2016)
   - Assisted in Production &amp; Planning for press shop sheet metal parts and cowl shop assembly. Planned and monitored preventive maintenance for tools &amp; machines. Implemented cost-saving systems like KAIZEN, POKA YOKE, 5S.</t>
  </si>
  <si>
    <t>Gandhidham</t>
  </si>
  <si>
    <t>Parag vaja.pdf</t>
  </si>
  <si>
    <t>Pruthvi Gohil</t>
  </si>
  <si>
    <t>979@grai.com</t>
  </si>
  <si>
    <t>Pruthvi Gohil.pdf</t>
  </si>
  <si>
    <t>SIJU RAHUL</t>
  </si>
  <si>
    <t>14.04.1996</t>
  </si>
  <si>
    <t>Mota asambiya , mandvi ,kutch, g ujarat,370485</t>
  </si>
  <si>
    <t>rahulsiju5246@gmail.com</t>
  </si>
  <si>
    <t>10th
GESSEB
2011</t>
  </si>
  <si>
    <t xml:space="preserve">1) ADANI SOLAR TEAMLEASE â€” QUALITY TECHNICIAN (Mar 2018 â€“ Feb 2019)
   - Involved in quality control processes. Ensured adherence to quality standards.
2) TELIFIC CHROMINI STEEL PVT LTD â€” TECHNICIAN MAINTENANCE (May 2019 â€“ Nov 2020)
   - Performed routine maintenance on machinery. Diagnosed and resolved technical issues.
3) PROJECT FORCE TMX CGPL MUNDRA â€” TECHNICIAN MAINTENANCE (Jan 2020 â€“ Jan 2022)
   - Executed preventive and corrective maintenance. Supported operational efficiency.
4) ADANI SOLAR INGOT WEFFER â€” TECHNICIAN PRODUCTION (Sept 2023 â€“ Jul 2024)
   - Operated production equipment. Monitored production processes.
5) Vishakha metal pvt Ltd â€” TECHNICIAN (Apr 2025)
   - </t>
  </si>
  <si>
    <t>kutch</t>
  </si>
  <si>
    <t>gujarat</t>
  </si>
  <si>
    <t>Rahul Siju.pdf</t>
  </si>
  <si>
    <t>Jadeja Rajendrasinh Navalsinh</t>
  </si>
  <si>
    <t>21th May 1998</t>
  </si>
  <si>
    <t>Vi- Kundrodi, Ta- Mundra , Dist- Kutchchh(Bhuj) Pin- 370205</t>
  </si>
  <si>
    <t>jadejarajendrasinh12th@gmail.com</t>
  </si>
  <si>
    <t>4 years 6 months</t>
  </si>
  <si>
    <t xml:space="preserve">1) Bright Marine Surveyor â€” Junior Hr Executive (09/2020 TO 11/12/2022)
   - 
2) Confidence Petroleum India Ltd â€” Accountant (12/12/2022 To 31/03/2025)
   - 
3) Oceansite Marine Surveyors â€” Hr (01/04/2025 To Till Date)
   - </t>
  </si>
  <si>
    <t>Kutchchh(Bhuj)</t>
  </si>
  <si>
    <t>Rajendra Jadeja.pdf</t>
  </si>
  <si>
    <t>RANSHI DOSA TAPARIYA</t>
  </si>
  <si>
    <t>Vill: Zarpara Tal: Mundra, Dist: Kutch Pin: 370405, Gujarat</t>
  </si>
  <si>
    <t>ranshitaptiya@gmail.com</t>
  </si>
  <si>
    <t>9th
Mandvi High School
2015</t>
  </si>
  <si>
    <t>1) Adani Will Mark Ltd â€” Machine Operator (2023 to Jan 2024 (1 year))
   - Operated and maintained production machinery.
2) Chromeni Steel Plant â€” Machine Operator (2 years)
   - Performed machine operation tasks in a steel plant.</t>
  </si>
  <si>
    <t>Ranshi Tapariya.pdf</t>
  </si>
  <si>
    <t>SUBHENDU BHAKTA</t>
  </si>
  <si>
    <t>24/01/1992</t>
  </si>
  <si>
    <t>Rishra, Hooghly, India 712250</t>
  </si>
  <si>
    <t>+91 9475884747</t>
  </si>
  <si>
    <t>subhendubhakta@gmail.com</t>
  </si>
  <si>
    <t>BTech: Mechanical Engineering
WBUT
2016</t>
  </si>
  <si>
    <t>9 years 10 months</t>
  </si>
  <si>
    <t>1) IFB Industries Steel Division â€” Senior Engineer (Project &amp; Maintenance) (08/2023 â€“ Current)
   - Oversee plant and machinery selection, procurement, and deployment. Implement preventive maintenance, manage repairs, troubleshoot issues, and ensure safety compliance and cost management.
2) Celex Technologies Pvt Ltd â€” Executive Engineer (09/2022 - 07/2023)
   - Managed machinery maintenance, repairs, and supervised manpower. Provided technical support, ensured workplace safety, and handled procurement of consumables/spares.
3) Automotives India â€” Engineer (06/2021 - 08/2022)
   - Designed new machines and reverse-engineered critical parts for steel plants. Conducted repairing/reconditioning jobs, managed material procurement, and expanded business.
4) IL&amp;FS Skills Dev. Corp. Ltd. â€” Engineer (08/2016 - 05/2021)
   - Managed budgets, production schedules, and inventory. Mentored engineers, performed repairs, provided technical advice, and developed training programs.
5) Ankit Metal &amp; Power Ltd. â€” Graduate Engineer Trainee (07/2014 - 07/2016)
   - Assisted in improving existing engineering processes and planning/implementing project solutions. Documented system changes and contributed to technical reports.</t>
  </si>
  <si>
    <t>Hooghly</t>
  </si>
  <si>
    <t>Subendu Bhakta.pdf</t>
  </si>
  <si>
    <t>Devdatt Parmar</t>
  </si>
  <si>
    <t>+91 9099619097</t>
  </si>
  <si>
    <t>devdattparmar83@gmail.com</t>
  </si>
  <si>
    <t>B.E. in Mechanical Engineering
HJD INSTITUTE OF TECHNICAL EDUCATION AND RESEARCH, KERA
2019</t>
  </si>
  <si>
    <t>0.6 years</t>
  </si>
  <si>
    <t>1) Rishi Kiran Logistics Pvt. Ltd. â€” Project &amp; Maintenance Engineer (Dec 2024 â€“ Present)
   - Led on-site supervision of MS and SS chemical storage tank construction, ensuring API 650 compliance and project timelines. Spearheaded procurement for SS/MS chemical storage tanks, including vendor evaluation, negotiation, and contract management.
2) Career Edge â€” Consulting Fellow (Internship) (Aug 2023 â€“ Oct 2023)
   - Learnt consulting industry and interview preparation through mentorship. Solved real-life market entry and acquisition cases.
3) Aditya Pump â€” Trainee (Jan 2019 â€“ Apr 2019)
   - Learnt about Axial flow Pump. Solved real-life corrosion problem and analyzed metal properties.</t>
  </si>
  <si>
    <t>Devdatt Project.pdf</t>
  </si>
  <si>
    <t>KISHAN GELA BHAI MAKWANA</t>
  </si>
  <si>
    <t>Chobari TA. Bhachau Dist. Kutch. bhuj.</t>
  </si>
  <si>
    <t>kishanmakwana076@gmail.com</t>
  </si>
  <si>
    <t xml:space="preserve">12th - Manfara High School (2018)
</t>
  </si>
  <si>
    <t>2 years 10 months</t>
  </si>
  <si>
    <t>1) Bhachau High Court â€” Peon (5 months)
   - Assisted with general office duties.
2) K Prvinchandra Group â€” Banking and Field Visiting Associate (14 months)
   - Performed banking operations and field visits.
3) Sevanidhi Trust Anajar â€” Social and Health Worker (7 months)
   - Engaged in social work and health-related activities.
4) Jay Murlidhr Pump Bhachau â€” Pump Cashier (8 months)
   - Managed cashier responsibilities and pump operations.</t>
  </si>
  <si>
    <t>Kishan Makvana.pdf</t>
  </si>
  <si>
    <t>Kishor Valjibhai Barmeda</t>
  </si>
  <si>
    <t>31.03.1974</t>
  </si>
  <si>
    <t>672 New Umed Nagar Colony, Bhuj â€“ Kutch</t>
  </si>
  <si>
    <t>kvbarmeda@gmail.com</t>
  </si>
  <si>
    <t>1) Praj Industries LTD â€” Store Assistant (25.03.2007 to 31.01.2011)
   - Unloaded and verified materials against PO/documents; reported shortages, excesses, or damages. Updated inward registers and prepared Goods Receipt Notes (GRN).
2) SUZLON ENERGY LTD â€” Executive (01.02.2011 to 09.10.2021)
   - Coordinated with the quality assurance team for GRN clearance and performed physical checks. Managed bin-to-bin material transfers and maintained stock on FIFO basis.
3) INOX WIND LTD. â€” Assistant Manager â€“ Stores (01.02.2022 to 02.02.2023)
   - Supervised yard operations, material handling, and yard maintenance, ensuring efficient space and manpower utilization. Monitored and tracked all incoming materials for proper staging.
4) SUZLON ENERGY LTD â€” Executive (10.02.2023 to 15.04.2024)
   - Arranged Material Handling Equipment like Cranes and Forklifts, adhering to safety norms. Monitored raw material availability and prepared monthly production plans.
5) INOX WIND LTD. â€” Assistant Manager â€“ PPC (23.04.2024 to till date)
   - Managed inventory issues, schedule changes, and cancellations. Possessed detailed knowledge of SAP Production Planning master data (BOM, work center, routing) and production order management.</t>
  </si>
  <si>
    <t>Kishore Barmera.pdf</t>
  </si>
  <si>
    <t>Nitinkumar Joitaram Solanki</t>
  </si>
  <si>
    <t>3rd Nov, 1979</t>
  </si>
  <si>
    <t>To : KAHODA Ta : Unjha Dist : Mehsana Pin : 384130 (NG) Nr. Post Office.kahoda</t>
  </si>
  <si>
    <t>8487825399, 9033241825</t>
  </si>
  <si>
    <t>nitin_solanki1062@yahoo.com</t>
  </si>
  <si>
    <t>H.S.C.E
1997</t>
  </si>
  <si>
    <t>15 years 11 months</t>
  </si>
  <si>
    <t>1) Continental Carbon Eco technology Pvt Limited â€” Senior Maintenance officer (30-10-2022 to Present)
   - 
2) Gujarat Ambuja Export Ltd. â€”  (12/11/2012 to 26/10/2022)
   - 
3) EURO CERAMIC LTD â€”  (31/03/2007 to 13/09/2011)
   - 
4) Gokul Refoils &amp; Solvents Ltd â€”  ()
   - Operated and maintained E.O.T cranes, various industrial machinery (valves, mills, pumps, compressors, boilers, fans, gearboxes, conveyor systems). Performed maintenance on RO plants, press machines, and DG sets.</t>
  </si>
  <si>
    <t>Mehsana</t>
  </si>
  <si>
    <t>Nitin Solanki.pdf</t>
  </si>
  <si>
    <t>Sodha Prahladsinh</t>
  </si>
  <si>
    <t>sodhaprashinsinh74@gmail.com</t>
  </si>
  <si>
    <t>S.S.C.
G.S.H.E.B.
2014</t>
  </si>
  <si>
    <t>1) Jindal Saw Ltd â€” R.O. Plant Operator (06/05/2019 to 05/05/2020)
   - Operated R.O. Plant machinery. Monitored plant performance and ensured operational efficiency.
2) M/s. M.D. Equipments Pvt. Ltd. â€” Shearing &amp; Press Operator (10/05/2020 to till date)
   - Operated shearing and press machines. Ensured quality output and smooth production processes.</t>
  </si>
  <si>
    <t>Prahlad Sodha.pdf</t>
  </si>
  <si>
    <t>Joshi Ram Jayeshbhai</t>
  </si>
  <si>
    <t>24/12/1997</t>
  </si>
  <si>
    <t>Radheshyam Nagar, Nr. APMC Market Yard Mandvi - Kutch Pin : 370465</t>
  </si>
  <si>
    <t>+91 96625 41247</t>
  </si>
  <si>
    <t>C.C.C
Certificate in Computer Concept
2023</t>
  </si>
  <si>
    <t>2 years 4 months</t>
  </si>
  <si>
    <t xml:space="preserve">1) Master Marine Service Pvt Ltd â€” Computer Operator (6th January 2016 to 5th August 2017)
   - 
2) ALS Singhamas Logistics Pvt Ltd â€” Operation Supervisor (29th January 2018 to 30th October 2018)
   - </t>
  </si>
  <si>
    <t>Ram Joshi.pdf</t>
  </si>
  <si>
    <t>Rayma Samir Naushad</t>
  </si>
  <si>
    <t>Samirrayma92@gmail.com</t>
  </si>
  <si>
    <t xml:space="preserve">Diploma
HJD Institute of Technical Education and Research
</t>
  </si>
  <si>
    <t>1) Infinitie Technologies â€” Web Developer (27th June, 2024 to 10 July, 2024 (2 weeks))
   - Completed web development tasks.</t>
  </si>
  <si>
    <t>Samir Rayma.pdf</t>
  </si>
  <si>
    <t>VATSAL PANDYA</t>
  </si>
  <si>
    <t>20A, Rameshwar Nagar,Anjar,Kachchh</t>
  </si>
  <si>
    <t>pandyavatsal6@gmail.com</t>
  </si>
  <si>
    <t>Bachelor in Education
Dr. H.R.Gajwani,Adipur
2024</t>
  </si>
  <si>
    <t>1) Shree Sahayog Saraswati Vidya Mandir â€” Assistant Teacher (June 2024 â€“ Present)
   - Served as Class teacher for Standard 6. Organized school functions and festival celebrations, including Navratri and Janmashtami.
2) SVP Gujarat Vidyalaya-Gandhidham â€” Teacher (15th June,2023 - 30th September 2023)
   - Taught Mathematics and Science for 9th standard. Managed unit test paper checking and data entry, organized various school events.</t>
  </si>
  <si>
    <t>Vatsal Pandya.pdf</t>
  </si>
  <si>
    <t>1) L&amp;T Technology Services â€” CONSULTANT - Executive Engineer (Planning &amp; Data Monitoring) (04/2024 â€“ Present)
   - Supported planning and performance tracking through data analytics; developed dashboards for resource allocation and progress tracking. Prepared daily/weekly reports for PIU teams, improving project visibility and scheduling accuracy by 15%.</t>
  </si>
  <si>
    <t>Naukri_AyushRaj[1y_8m].pdf</t>
  </si>
  <si>
    <t>BHAVIK PATEL</t>
  </si>
  <si>
    <t>A/43 Amrapali Society, Nr. Jalaram Temple, Manjalpur, Vadodara â€“ 390011</t>
  </si>
  <si>
    <t>bpsp251090@gmail.com</t>
  </si>
  <si>
    <t>Master of Applied Science (Mechanical)
Dalhousie University
2016</t>
  </si>
  <si>
    <t>12 years 1 month</t>
  </si>
  <si>
    <t>1) SPML Infra Ltd â€” Manager â€“ Project Execution (July 2025 â€“ present)
   - Identified critical balance works, including pump erection, testing, commissioning, and final handover of pump houses. Developed and initiated structured execution plans to streamline activities and accelerate project closure.
2) Megha Engineering and Infrastructure Ltd â€” Sr. Mechanical Engineer (Section In-charge) (June 2023 â€“ June 2025)
   - Led planning &amp; execution of irrigation water supply project, ensuring timely delivery and zero safety incidents. Coordinated with 15+ contractors/clients, resolving bottlenecks via daily site inspections.
3) Metalx Global &amp; Yaksh Enterprise â€” Partner and Proprietor (April 2021 â€“ May 2023)
   - Executed 100 MLD WTP &amp; 24 KM pipeline project for VMC, including NDT testing and structural fabrication. Prepared technical documentation and secured client approvals for key project deliverables.
4) Gharpure Engineering and Construction Pvt Ltd â€” PMO Mechanical Engineer (May 2019 â€“ March 2021)
   - Reconciled BOQ/BOM and client bills, ensuring 100% accuracy in contractor certifications. Led project review meetings with directors and supervisors, providing updates and addressing roadblocks.
5) Rashmin Coating â€” Mechanical Engineer (August 2017 â€“ April 2019)
   - Managed and supervised shop-floor operations for electroplating plants, ensuring ISO compliance and quality control. Maintained detailed records of daily workmen output and managed equipment maintenance.
6) Cheticamp Marine and Boat Yard â€” Assistant Mechanical Engineer (October 2016 â€“ May 2017)
   - Assisted in planning and scheduling mechanical operations for marine vessel construction. Coordinated with cross-functional teams to ensure timely delivery of high-quality marine solutions.
7) Dalhousie University â€” Research Assistant (Advanced Control and Mechatronics) (September 2014 â€“ October 2016)
   - Conducted research on advanced control systems and mechatronics, contributing to innovative engineering solutions and developing prototypes. Published findings in academic journals and presented at international conferences.
8) New S B Engineering â€” Mechanical Engineer â€“ Intern (June 2012 â€“ June 2013)
   - Assisted in design, drafting, and project planning for industrial clients. Contributed to successful project deliveries by providing technical support to senior engineers.</t>
  </si>
  <si>
    <t>Naukri_BhavikPatel[12y_1m].pdf</t>
  </si>
  <si>
    <t>Deepali B Ingale</t>
  </si>
  <si>
    <t>21/10/1995</t>
  </si>
  <si>
    <t>Vijayapura, Karnataka</t>
  </si>
  <si>
    <t>deepaliingalek1@gmail.com</t>
  </si>
  <si>
    <t>10th
ST,Marys School Bijapur Karnataka
2011</t>
  </si>
  <si>
    <t>1) Pooja Constructions â€” Billing Engineer-Civil (01/03/2023 to till date)
   - Prepared and monitored weekly/monthly project reports, managed quantity surveying, and prepared monthly RA bills, BOQ, and material reconciliation reports.</t>
  </si>
  <si>
    <t>Vijayapura</t>
  </si>
  <si>
    <t>Karnataka</t>
  </si>
  <si>
    <t>Naukri_DeepaliIngale[Fresher].pdf</t>
  </si>
  <si>
    <t>Harish Goyal</t>
  </si>
  <si>
    <t>Village Harwecha, Post Harwa, Tehsil Sheo, District Barmer, Rajasthan â€“ 344705</t>
  </si>
  <si>
    <t>+91 97727 78744</t>
  </si>
  <si>
    <t>harishsingh758@gmail.com</t>
  </si>
  <si>
    <t>1)  â€” Intern â€“ Projects (Nov 2024 â€“ Present)
   - Supported 220 kV transmission line execution, coordinating with field teams and vendors. Managed documentation, ERP entries, MIS reporting, and administrative tasks.</t>
  </si>
  <si>
    <t>Barmer</t>
  </si>
  <si>
    <t>Naukri_HarishGoyal[1y_0m].pdf</t>
  </si>
  <si>
    <t>Irfan Shaikh</t>
  </si>
  <si>
    <t>Worli, Lower Parel, Mumbai -400018, Maharashtra, India</t>
  </si>
  <si>
    <t>irfanalishaikh369@gmail.com</t>
  </si>
  <si>
    <t>Bachelor of Engineering (Civil Engineering)
Rizvi College of Engineering, Mumbai University
2023</t>
  </si>
  <si>
    <t>10 months</t>
  </si>
  <si>
    <t>1) Vishwajeet Infrastructure Pvt Ltd. â€” Site Engineer (12 December 2024 â€“ Present)
   - Executed site supervision, layout checking, and logistics planning. Ensured compliance with building regulations, IS codes, and quality standards.
2) Ultratech Concrete Ltd â€” Quality Engineer (June 2021 â€“ March 2022)
   - Monitored concrete mix design, material testing of concrete ingredients, slump test, cube test, and quality checks. Generated daily progress reports (DPR) and project documentation.</t>
  </si>
  <si>
    <t>Mumbai</t>
  </si>
  <si>
    <t>Naukri_IrfanShaikh[Fresher].pdf</t>
  </si>
  <si>
    <t>Kalpesh Dnyaneshwar Patil</t>
  </si>
  <si>
    <t>At Lasgaon Post Samner Tal Pachora Dist Jalgaon</t>
  </si>
  <si>
    <t>99kalpeshpatil@gmail.com</t>
  </si>
  <si>
    <t>2 years 1 month</t>
  </si>
  <si>
    <t>1) Tricon Infra Buildtech Private Limited â€” Billing Engineer (June 2022 - Dec 2023)
   - Prepared detailed invoices and estimated project costs from blueprints. Maintained billing records and communicated with clients on discrepancies.
2) Aakar Abhinav Consultant Pvt. Ltd â€” Estimation &amp; Billing Engineer (Dec 2023 - Till date)
   - Generated detailed invoices for clients and accurately estimated project costs. Maintained comprehensive records of billing documents and contracts.</t>
  </si>
  <si>
    <t>Jalgaon</t>
  </si>
  <si>
    <t>Naukri_KalpeshDnyaneshwarPatil[2y_10m].pdf</t>
  </si>
  <si>
    <t>LAV TIWARI</t>
  </si>
  <si>
    <t>+91 9315148521</t>
  </si>
  <si>
    <t>lavtiwari732000@gmail.com</t>
  </si>
  <si>
    <t>Electrical and Electronics Engineering
Maharaja Surajmal Institute of Technology (GGSIPU)
2023</t>
  </si>
  <si>
    <t>0 years 10 months</t>
  </si>
  <si>
    <t>1) Adani Electricity Mumbai Limited (AEML) â€” Assistant Manager - Projects (AUG 2023 - PRESENT)
   - Execute circuiting schemes for network optimization and manage HT/LT cable laying. Coordinate with contractors, compile MIS reports, and ensure safety compliance on project sites.</t>
  </si>
  <si>
    <t>Naukri_LAVTIWARI[2y_4m].pdf</t>
  </si>
  <si>
    <t>MAYUR ASHOK BHOI</t>
  </si>
  <si>
    <t>Malpur Road, Near Water Supply Tank, Dondaicha â€“ 425408, Maharashtra</t>
  </si>
  <si>
    <t>9730854799, 8668457532</t>
  </si>
  <si>
    <t>mayurbhoi21@gmail.com</t>
  </si>
  <si>
    <t>B.E. Civil Engineering
North Maharashtra University, Jalgaon
2017</t>
  </si>
  <si>
    <t>4 years 8 months</t>
  </si>
  <si>
    <t>1) Choice Consultancy Services Pvt. Ltd. â€” Junior Engineer &amp; Technical Advisor (Jan 2023 â€“ Present)
   - Supervised and monitored rural water supply projects across Nandurbar district. Prepared Detailed Project Reports (DPRs), Estimates, and Bills, and managed quality control.
2) The Nisarga Consultancy, Nashik â€” Site Engineer (May 2022 â€“ Dec 2022)
   - Reviewed and verified project designs and calculations. Oversaw material procurement, construction activities, and ensured compliance with health and safety standards.
3) Swastik Infra-Logic Pvt. Ltd., Mumbai â€” Site Engineer (Oct 2019 â€“ Apr 2022)
   - Executed civil works including Hume Pipe Culverts, Box Culverts, Slab Culverts, and Drainage Systems. Managed billing, material requisition, reconciliation, and maintained safety/quality systems.</t>
  </si>
  <si>
    <t>Nandurbar</t>
  </si>
  <si>
    <t>Naukri_MayurBhoi[5y_6m].pdf</t>
  </si>
  <si>
    <t>Rohit Chauhan</t>
  </si>
  <si>
    <t>Vill-Sheikhpur,Po-Kazipur,TQ-Sikanderpur Dist-Ballia(UP)Pin-277303</t>
  </si>
  <si>
    <t>rohitchauhan0024@gmail.com</t>
  </si>
  <si>
    <t>B.Tech (Civil)
TIT Bhopal
2021</t>
  </si>
  <si>
    <t>1) OM Infra Project- L&amp;T, JSW Dolvi BF 3 Project â€” Steel Yard Rebar Engineer (03 Jul 2024 to Till Date)
   - Planned and executed works as per client BBS. Reconciled reinforcement details, prepared DPR, and minimized steel scrap.
2) Nirmiti Engineers &amp; Contractor, EMRS Building project G+3 â€” Site Engineer (20 Feb. 2022 to Jul 2024)
   - Planned and executed works as per design and drawings. Coordinated with clients/subcontractors, ensured quality control, and prepared DPR.</t>
  </si>
  <si>
    <t>Ballia</t>
  </si>
  <si>
    <t>Naukri_RohitChauhan[4y_0m].pdf</t>
  </si>
  <si>
    <t>Rohit Shyamdhar Gupta</t>
  </si>
  <si>
    <t>Goregaon (E), Mumbai â€“ 400063</t>
  </si>
  <si>
    <t>rohitgp22@gmail.com</t>
  </si>
  <si>
    <t>M.C.A.
Pune University
2021</t>
  </si>
  <si>
    <t>5 years 2 months</t>
  </si>
  <si>
    <t>1) World Retail Exchange Software Solutions Pvt. Ltd. â€” Project Manager (January 2024 â€“ 7 July 2025)
   - Led projects from planning to deployment; managed client communications and application development. Coordinated teams, resolved technical issues, and supported ERP system usage.
2) Inland World Logistics Pvt. Ltd. â€” Senior Operation Executive (Feb 2022 â€“ Jul 2023)
   - Led CRM L1 team for data management, updates, and daily reporting. Coordinated POD updates with branches and generated MIS reports.
3) T&amp;M Services Consulting Pvt. Ltd. â€” Jr. Operation Executive (Feb 2020 â€“ Nov 2021)
   - Handled customer queries in the credit card billing department. Supported FreeCharge services and managed customer complaint resolution via email.
4) Felidae Infosec Pvt. Ltd. â€” Jr. Operation Executive (Jul 2019 â€“ Jan 2020)
   - Worked as a support executive handling debit card blocking services. Managed back-office operations and mail-based processes.</t>
  </si>
  <si>
    <t>Naukri_RohitGupta[5y_0m].pdf</t>
  </si>
  <si>
    <t>Mohd Shadab</t>
  </si>
  <si>
    <t>Town-Ambheta,Tehsil -Nakur, District -Saharanpur, Uttar Pradesh Pin Code -247340 (India)</t>
  </si>
  <si>
    <t>shadab.abdulmalik@gmai.com</t>
  </si>
  <si>
    <t>B.Tech (Civil)
LPU
2015</t>
  </si>
  <si>
    <t>10 Years 01 Month</t>
  </si>
  <si>
    <t>1) M/s IMCM Pvt. Ltd. â€” Project &amp; Billing Engineer (15 May 2025 to Continue)
   - Checking bills submitted by contractors and various consultants. Preparing certification of payments and monthly provisions for billing. Managing bill trackers.
2) M/s Reliance PPM Services Pvt. Ltd â€” Planning and Billing Engineer (05 June 2023 to 14 May 2025)
   - Preparation of monthly bills and checking/certifying contractor bills. Managing day-to-day site activities and planning work fronts. Developing Civil Estimates and performing quantity take-offs.
3) Kamal &amp; Associates Pvt. Ltd â€” Site Engineer (22 Dec 2016 to 3 June 2023)
   - Bill checking, making, estimation &amp; costing of new NS item work. Coordinating with clients, contractors, architects, and consultants for smooth project delivery. Planning and monitoring regular work progress.
4) Zyra Infrastructure PVT LTD. â€” Site Engineer (6 July 2015 to 18 Dec 2016)
   - Preparation of monthly client bills and checking sub-contractor bills. Monitoring and supervising finishing items like Block work, Plaster, Tiling work. Managing day-to-day activities at site.</t>
  </si>
  <si>
    <t>Saharanpur</t>
  </si>
  <si>
    <t>Naukri_Shadab[10y_0m].pdf</t>
  </si>
  <si>
    <t>SURAJIT MAITY</t>
  </si>
  <si>
    <t>17/09/2004</t>
  </si>
  <si>
    <t>Vill: Nichnya, Post:Gohaldanga, PS-Chandrakona,Dist.-Paschim Medinipur,721232</t>
  </si>
  <si>
    <t>maitisurajit420@gmail.com</t>
  </si>
  <si>
    <t>1) Ardent Computech Private Limited â€” Industrial Intern ()
   - Successfully completed Industrial Internship on Auto CAD 2D, 3D and Staad Pro.</t>
  </si>
  <si>
    <t>Paschim Medinipur</t>
  </si>
  <si>
    <t>Naukri_SurajitMaity[0y_3m].pdf</t>
  </si>
  <si>
    <t>Vijay Date</t>
  </si>
  <si>
    <t>Police Housing Mulund near pimpleshwar mahadeo mandir mulund west 400080</t>
  </si>
  <si>
    <t>vijaydate87@gmail.com</t>
  </si>
  <si>
    <t>Bachelor of Engineering
D Y Patil College of Engineering, Akurdi Pune
2020</t>
  </si>
  <si>
    <t>1) Vijay Magar Engineers and Contractors â€” Junior Site Engineer (Jan 2021 â€” Dec 2022)
   - Managed client/subcontractor billing, material reconciliation, and budget preparation. Assisted Project Manager with project planning, drawing analysis, quantity calculation, and material quality testing.</t>
  </si>
  <si>
    <t>Mulund</t>
  </si>
  <si>
    <t>Naukri_VijayDate[2y_6m].pdf</t>
  </si>
  <si>
    <t>ABHISHEK</t>
  </si>
  <si>
    <t>22/03/2001</t>
  </si>
  <si>
    <t>VPO-Kumha, Teh-Bharatpur, Rajasthan, 321303</t>
  </si>
  <si>
    <t>fauzdarabhishek137@gmail.com</t>
  </si>
  <si>
    <t>Bachelor's of Technology
Rajasthan Technical University, Kota
2023</t>
  </si>
  <si>
    <t>1) Kalathia Engineering and Constructions Limited â€” Highway Engineer (May 2023 - Jan 2024)
   - Prepared earthwork and highway layers according to specifications. Coordinated with supervisors and prepared daily progress reports.
2) Kalathia Engineering and Constructions Limited â€” Structure Engineer (Feb 2024 - Present)
   - Managed construction of various structures including minor bridges, major bridges, culverts, and RE Wall structures.</t>
  </si>
  <si>
    <t>Bharatpur</t>
  </si>
  <si>
    <t>Naukri_AbhishekFauzdar[2y_5m].pdf</t>
  </si>
  <si>
    <t>Abutalha Khan</t>
  </si>
  <si>
    <t>402 zainab manzil 4th floor near ice factory old pankaj building, fish market amrut Nagar vapi 396191, Vapi Station Road, Vapi East, Gita Nagar. Vapi 396191 Gujarat</t>
  </si>
  <si>
    <t>aak070707khan@gmail.com</t>
  </si>
  <si>
    <t>Bachelor Of Engineering (Electrical Engineer)
Sant Gadge Baba Amravati University, Maharashtra
2020</t>
  </si>
  <si>
    <t>3 years 1 month</t>
  </si>
  <si>
    <t>1) TUV India Pvt Ltd â€” BIS Technical Auditor (14/04/2025 - Present)
   - Conducted audits of licensed manufacturing units as per Indian Standards (IS) and BIS product manuals. Verified in-house testing records and performed on-site factory testing to ensure compliance.
2) FCG Hi-TECH Pvt Ltd â€” Certification Engineer (01/01/2024 - 29/03/2025)
   - Coordinated with design and production to create product samples for ATEX, IECEx, and CIMFR certifications. Submitted samples to testing laboratories and managed PESO/BIS approvals and renewals.
3) FCG Flameproof Control Gears Pvt Ltd â€” Certification Engineer (22/11/2022 - 30/12/2023)
   - Coordinated with design and production to create product samples for ATEX, IECEx, and CIMFR certifications. Submitted samples to testing laboratories and managed PESO/BIS approvals and renewals.
4) Zobele India Pvt Ltd â€” Quality Inspector (12/02/2022 - 01/11/2022)
   - Performed in-process and final inspection of plug insecticides and room fresheners. Monitored process control and First Pass Yield, ensuring products met quality parameters.</t>
  </si>
  <si>
    <t>Vapi</t>
  </si>
  <si>
    <t>Naukri_AbutalhaAKhan[4y_0m].pdf</t>
  </si>
  <si>
    <t>Aishwarya Shekhar Tamboli</t>
  </si>
  <si>
    <t>MCCH Society, Panvel-Maharashtra</t>
  </si>
  <si>
    <t>aishwaryatamboli5@gmail.com</t>
  </si>
  <si>
    <t xml:space="preserve">Bachelor of Civil Engineering
SARASWATI COLLEGE OF ENGINEERING, KHARGHAR
</t>
  </si>
  <si>
    <t>7 years 3 months</t>
  </si>
  <si>
    <t>1)  â€” Civil Engineer and Consultant (March 2018 - June 2025)
   - Planned, designed, and managed building and infrastructure projects; utilized AutoCAD and project management tools.
2) Vastukalp CIDCO MATERIAL TESTING LABORATORY, SANPADA â€” Material Testing Engineer (Dec 2022 - June 2025)
   - Conducted construction material testing.
3) Civil Engineering Group â€” Intern (Jan 2023 - June 2025)
   - Assisted in civil engineering projects.</t>
  </si>
  <si>
    <t>Panvel</t>
  </si>
  <si>
    <t>Naukri_AishwaryaTamboli[6y_0m].pdf</t>
  </si>
  <si>
    <t>Amit Kumar Dubey</t>
  </si>
  <si>
    <t>12th March 1996</t>
  </si>
  <si>
    <t>Kuraiya, Ajaypur, Bhadohi, U.P.-221406</t>
  </si>
  <si>
    <t>32dubeyamit@gmail.com</t>
  </si>
  <si>
    <t>5 years, 8 months</t>
  </si>
  <si>
    <t>1) SGS India Pvt ltd â€” Final Inspection Engineer (20/08/2023 - Present)
   - 
2) Quality Austria Central Asia Pvt ltd â€” Quality Control Supervisor (05/05/2023 - 19/08/2023)
   - Assessed automobile parts for defects, ordered rework, and maintained inspection records.
3) Rk Lighting Pvt Ltd â€” Shift Engineer (01/10/2022 - 04/05/2023)
   - Supervised production and handled manpower. Prepared daily production and rejection reports.
4) Adarsh Insulations â€” Site Engineer (06/09/2018 - 30/09/2022)
   - Supervised site and safety, handled manpower. Conducted daily Toolbox Talks.</t>
  </si>
  <si>
    <t>Bhadohi</t>
  </si>
  <si>
    <t>Naukri_Amitkumardubey[6y_6m].pdf</t>
  </si>
  <si>
    <t>Anil Kumar Samal</t>
  </si>
  <si>
    <t>Bhubaneswar</t>
  </si>
  <si>
    <t>samalanil104@gmail.com</t>
  </si>
  <si>
    <t xml:space="preserve">Bachelor of Technology (Civil Engineering with Hons)
Biju Patnaik University of Technology (B.P.U.T)
</t>
  </si>
  <si>
    <t>4 years 9 months</t>
  </si>
  <si>
    <t>1) BIRENDRA KUMAR NAYAK || Special Class Contractor â€” Civil Site Engineer (February 2021 â€“ November 2024)
   - Conducted daily site inspections, provided technical support, and ensured compliance with safety standards and regulations. Assisted in material procurement, prepared technical reports, and coordinated with contractors for timely project execution.
2) National Highway Govt of Odisha â€” Trainee Engineer (December 2018 â€“ December 2019)
   - Performed site inspections, designed highway infrastructure, and conducted traffic studies to optimize safety and efficiency. Managed project budgets and resources, supervised engineering teams, and resolved technical issues.</t>
  </si>
  <si>
    <t>Khordha</t>
  </si>
  <si>
    <t>Odisha</t>
  </si>
  <si>
    <t>Naukri_ANILKUMARSAMAL[3y_3m].pdf</t>
  </si>
  <si>
    <t>Pradnya Namadev Bhosale</t>
  </si>
  <si>
    <t>29th August 1998</t>
  </si>
  <si>
    <t>A/P Siddhewadi, Tal. Tasgaon Sangli, Maharashtra, India. PIN:416311</t>
  </si>
  <si>
    <t>Flat no. 5C 601, Choice Ambe Smruti,Dand- Apata Road Chambharli, Patalaganga 410207</t>
  </si>
  <si>
    <t>bhosalepradnya503@gmail.com</t>
  </si>
  <si>
    <t>1) CIPLA Ltd, Patalganga MIDC â€” Apprentice â€“ Civil Engineering (Maintenance Department) (December 2024 â€“ Present)
   - Assisted in maintaining and repairing civil infrastructure such as roads, drainage systems, buildings. Supervised small-scale site activities and ensured work as per safety standards.</t>
  </si>
  <si>
    <t>Sangli</t>
  </si>
  <si>
    <t>Naukri_BhosalePradnyaNamadev[1y_2m].pdf</t>
  </si>
  <si>
    <t>KUSH KUMAR</t>
  </si>
  <si>
    <t>17-03-1992</t>
  </si>
  <si>
    <t>Vill- Sitjainchak, P.O-Bairia, P.S-Gopalpur, Distt-Patna, 800007</t>
  </si>
  <si>
    <t>kushk4495@gmail.com</t>
  </si>
  <si>
    <t>Secondary Education
SIR G D PATLIPUTRA H S KADAMKUAN â€“ B S E B
2007</t>
  </si>
  <si>
    <t xml:space="preserve">1) Intertek India Pvt Ltd Telecom â€” Quality Engineer (ONE Year)
   - </t>
  </si>
  <si>
    <t>Naukri_KushKumar[1y_1m].pdf</t>
  </si>
  <si>
    <t>Manali S Wagh</t>
  </si>
  <si>
    <t>Ghansoli, Navi Mumbai</t>
  </si>
  <si>
    <t>mswagh08@gmail.com</t>
  </si>
  <si>
    <t>BACHELOR OF ENGINEERING (CIVIL)
Datta Meghe College Of Engineering
2022</t>
  </si>
  <si>
    <t>7 months</t>
  </si>
  <si>
    <t>1) GEOINFO SERVICES â€” GIS Trainee Engineer (Octâ€™ 2021 to Aprâ€™2022)
   - Generated and analyzed geospatial maps, including feasibility studies. Automated visualization of geographic maps and mapped routes visually in real time.
2) MAHARASHTRA FILM STAGE AND CULTURAL DEVELOPMENT CORPORATION â€” Technical Assistant (Civil) (Marâ€™2024-Decâ€™24)
   - Managed tendering and estimation as per PWD norms and prepared/checked contractor bills. Coordinated with agencies and assisted in supervision &amp; monitoring of various sites.
3) GIRISH ENTERPRISES PRIVATE LIMITED â€” Planning &amp; Procurement Engineer (Janâ€™2025- Present)
   - Developed detailed project plans, timelines, and schedules using software like MS Project. Identified and procured materials, equipment, and services, including negotiation and issuing Purchase Orders.</t>
  </si>
  <si>
    <t>Naukri_ManaliSantoshWagh[0y_6m].pdf</t>
  </si>
  <si>
    <t>Mohd Lazib</t>
  </si>
  <si>
    <t>New Delhi</t>
  </si>
  <si>
    <t>mintorianlazib@gmail.com</t>
  </si>
  <si>
    <t xml:space="preserve">B. Tech in Civil Engineering - Jamia Millia Islamia (2025)
</t>
  </si>
  <si>
    <t>0 years 3 months</t>
  </si>
  <si>
    <t>1) Hind construction Company â€” Site Engineer ()
   - Managed all civil work for the construction of 33 kV substations including foundation, control room, cable trenches, and equipment foundations. Prepared and verified measured quantities for billing, material procurement, and contractor payments; reviewed Bar Bending Schedules (BBS) and progress reports.</t>
  </si>
  <si>
    <t>Delhi</t>
  </si>
  <si>
    <t>Naukri_MohdLazib[0y_3m].pdf</t>
  </si>
  <si>
    <t>Nandkishor Nawale</t>
  </si>
  <si>
    <t>Ghansoli, Navi Mumbai, Maharashtra</t>
  </si>
  <si>
    <t>+91 8928468551</t>
  </si>
  <si>
    <t>nandkishornawale04@gmail.com</t>
  </si>
  <si>
    <t>Bachelor of Civil Engineering
PILLAI HOC COLLEGE ENGINEERING OF TECHNOLOGY Mumbai University
2020</t>
  </si>
  <si>
    <t>4 years, 6 months</t>
  </si>
  <si>
    <t>1) Hiten Sethi &amp; Associates â€” Project Management Consultant (Dec 2024-Present)
   - Provided technical support for construction projects, including bridge and tunnel works. Reviewed contractor activities, ensured quality control, estimated project costs, and managed site supervision and documentation.
2) Rodic Consultant Pvt. Ltd â€” Senior Site Engineer (Feb 2022 - Oct 2024)
   - Managed BOQ study, quantity extraction, and monthly RA bill certification. Oversaw structural drawing review, reinforcement checks for PSC girders, and subcontractor billing. Directed PSC-girder stressing, launching, piling, and road work supervision.
3) Kasturi Project Pvt Ltd. â€” Jr. Project Engineer (Execution &amp; billing) (April 2020 â€“Jan 2022)
   - Coordinated with contractors and clients, managed project planning and execution, and prepared BOQ/BBS. Supervised civil construction, including site preparation, excavation, RCC, and NATM works for underground metro tunnels.</t>
  </si>
  <si>
    <t>Navi Mumbai</t>
  </si>
  <si>
    <t>Naukri_NandkishorNawale[5y_0m].pdf</t>
  </si>
  <si>
    <t>Niranjan Rajendra Roge</t>
  </si>
  <si>
    <t>23rd December 2000</t>
  </si>
  <si>
    <t>Room No.501, Sarvoday Apartments 11, Kherwadi Road, Kherwadi, Bandra East, Mumbai 400 051</t>
  </si>
  <si>
    <t>niranjanroge2312@gmail.com</t>
  </si>
  <si>
    <t>Master in Construction Engineering &amp; Management
Anjuman-I-Islam's Kalsekar Technical Campus New Panvel
2025</t>
  </si>
  <si>
    <t>1) J. Kumar Infraprojects Ltd. â€” Billing Engineer (01st February 2023 â€“ Present)
   - Prepared sub-contractor RA Bills, work orders, and reconciliation statements. Utilized ERP for project management, including budget and BOQ creation.
2) Rahul Constructions â€” Graduate Trainee Engineer (9th June 2022 â€“ 31st January 2023)
   - Managed complete tendering and procurement processes, including tender document preparation and e-Tendering submission. Conducted market and rate analysis for project costing and estimation.</t>
  </si>
  <si>
    <t>Naukri_NiranjanRajendraRoge[3y_2m].pdf</t>
  </si>
  <si>
    <t>Omkar Sunil Nalawade</t>
  </si>
  <si>
    <t>Navi Mumbai Maharashtra</t>
  </si>
  <si>
    <t>onalawade2827@gmail.com</t>
  </si>
  <si>
    <t xml:space="preserve">B.E. in Civil and Infrastructure Engineering - Datta Meghe College of Engineering (2025)
</t>
  </si>
  <si>
    <t>1) Reliable Estimation Services LLP â€” Junior Estimator/Project Engineer (1 July 2025 (Present))
   - Performed quantity take-offs, cost estimation, and BOQ using Bluebeam Revu and MS Excel.
Handled project billing and client invoicing, ensuring accuracy and timely submission.
2) City and Industrial Development Corporation (CIDCO) â€” Engineering Intern (June 2023 - July 2023)
   - Supervised construction of a compound wall at plots 8 and 9, monitoring site and police station construction.
Improved legal knowledge about encroachment processes and understood node drawings and plot details.</t>
  </si>
  <si>
    <t>Naukri_OmkarSunilNalawade[Fresher].pdf</t>
  </si>
  <si>
    <t>PINTU KUMAR</t>
  </si>
  <si>
    <t>2nd March 1994</t>
  </si>
  <si>
    <t>Village : Silao Post Office : Silao District : Nalanda State. : Bihar,803117</t>
  </si>
  <si>
    <t>Silao , Sorakhoti PO+PS-Silao Distt. â€“ Nalanda (Bihar)803117</t>
  </si>
  <si>
    <t>pintusilao@gmail.com</t>
  </si>
  <si>
    <t>2 years 8 months</t>
  </si>
  <si>
    <t>1) Vascon Engineers Limited â€” Jr. Billing Engineer (Oct 2021 - Present)
   - Prepared joint site measurements, client billing documents, and project DPRs. Managed material reconciliation, daily labor reports, and RFI processes.</t>
  </si>
  <si>
    <t>Nalanda</t>
  </si>
  <si>
    <t>Naukri_PintuKumar[4y_6m].pdf</t>
  </si>
  <si>
    <t>RAJAN RAMESH GHADIGAONKAR</t>
  </si>
  <si>
    <t>Room no.505, Ramchandra Park, B-wing, P&amp;T Colony, Nandivali Panchanand, Dombivali East, Dombivali, Maharashtra, 421201</t>
  </si>
  <si>
    <t>rghadigaonkar238@gmail.com</t>
  </si>
  <si>
    <t xml:space="preserve">DIPLOMA IN CIVIL ENGINEERING - Government Polytechnic Malvan (2021)
</t>
  </si>
  <si>
    <t>1) Retro fitters Consulting Engineer PVT LTD â€” Consultant for the Repairing site engineer (02 May 2021 - 23 Feb 2023)
   - Planned construction activities, prepared daily/weekly/monthly work schedules and progress reports. Supervised site operations, managed material arrangements, and solved unexpected problems. Prepared construction drawings, method statements, and site safety checklists.
2) SHIVAM ENTERPRISES PVT LTD â€” Site Engineer, Billing Engineer and Quantity surveying (17 MAY 2023 AND CURRENTLY WORK HERE NOW)
   - Planned construction activities and prepared daily/weekly/monthly schedules. Managed billing processes for various clients including Shree Naman Group, Kalpataru, and SaiNath Developers. Applied strong skills in quantity surveying and billing for RA bills and work orders.</t>
  </si>
  <si>
    <t>Dombivali</t>
  </si>
  <si>
    <t>Naukri_RajanRameshGhadigaonkar[4y_5m].pdf</t>
  </si>
  <si>
    <t>JAY VYAS</t>
  </si>
  <si>
    <t>24th December 1995</t>
  </si>
  <si>
    <t>B.E Mechanical Engineering
S P B Patel Engineering College
2016</t>
  </si>
  <si>
    <t>6 years 9 months</t>
  </si>
  <si>
    <t>1) SGS India Pvt. Ltd. â€” Inspection Engineer (Jan 2023 - till date)
   - Witnessed hydro tests, dimensional checks, and visual inspections for various valves. Reviewed inspection reports and material test certificates for physical and chemical properties.
2) Nilon Valve Pvt. Ltd. â€” SR Q C Engineer (Aug 2020 - Dec 2022)
   - Responsible for improving quality of inward materials, in-house components, and supplier parts as per required standards. Verified MTC, RT reports, MPI, and other supporting documents.
3) Steel Strong valve Pvt. Ltd. â€” Q C Engineer (July 2019 - June 2020)
   - Improved quality of inward materials, in-house components, and supplier parts, ensuring adherence to standards. Coordinated with Third Party Inspection agencies for inspection and TC review.
4) Nilon Valve Pvt. Ltd. â€” Q C Engineer (June 2017 - June 2019)
   - Responsible for improving quality of inward materials, in-house components, and supplier parts as per required standards. Verified MTC, RT reports, MPI, and other supporting documents.</t>
  </si>
  <si>
    <t>Naukri_VyasJaykumarSubhashchandra[8y_0m].pdf</t>
  </si>
  <si>
    <t>Dikshya Mohanty</t>
  </si>
  <si>
    <t>13-01-2002</t>
  </si>
  <si>
    <t>68F-DDN-036 : Jainabad, Nimapara : Puri, Odisha : 752106</t>
  </si>
  <si>
    <t>Puri, 752106, Odisha, India</t>
  </si>
  <si>
    <t>+91 7750976761</t>
  </si>
  <si>
    <t>dikshya1016@gmail.com</t>
  </si>
  <si>
    <t>Bachelor of technology in Civil Engineering (BE)
Gandhi Institute For Technological Advancement
2023</t>
  </si>
  <si>
    <t>2.3 years</t>
  </si>
  <si>
    <t>1) Rohan Builders India Pvt Ltd â€” Assistant Engineer (QS &amp; Billing) (July 2023 / Present)
   - Executed quantity surveying, material estimation, and rate analysis for civil works, ensuring cost control. Prepared and submitted Running Account (RA) bills and assisted in site execution planning and tendering activities.</t>
  </si>
  <si>
    <t>Puri</t>
  </si>
  <si>
    <t>Naukri_DikshyaMohanty[2y_4m].pdf</t>
  </si>
  <si>
    <t>LAHU DILIP MANJREKAR</t>
  </si>
  <si>
    <t>Room no.504,5thfloor,B-Wing, Jaibajrangapartment,Sector 20, Nerul west, Navi mumbai- 400706</t>
  </si>
  <si>
    <t>manjrekarlahu@gmail.com</t>
  </si>
  <si>
    <t>Diploma in Civil Engineering
Governmentpolytechnic Thane
2021</t>
  </si>
  <si>
    <t>2 years 7 months</t>
  </si>
  <si>
    <t>1) Structwel Designers and Consultants Pvt.Ltd. â€”  (Nov 2021- May 2022)
   - Supervised sites and managed projects; Performed quantity surveying, repairs/restoration, and structural health assessment.
2) Structwel designers &amp; Consultants Pvt. Ltd. â€” Intern (15th May 2022 - Till date)
   - Managed project billing, prepared records and MIS reports; Performed quantity surveying, BOQ analysis, and vendor coordination.</t>
  </si>
  <si>
    <t>Naukri_LahuDilipManjrekar[3y_0m].pdf</t>
  </si>
  <si>
    <t>PURVA BALKRISHNA NANDGAONKAR</t>
  </si>
  <si>
    <t>Khandeshwar, Navi Mumbai</t>
  </si>
  <si>
    <t>pnandgaonkar141@gmail.com</t>
  </si>
  <si>
    <t>BE in Civil Engineering
JSPM's Imperial College of Engineering &amp; Research, Pune
2022</t>
  </si>
  <si>
    <t>1) Vishva associates LLP â€” Civil Engineer (June 2024 - Present)
   - Designed specialized foundations and structures for chemical processing facilities; Coordinated with Piping/Process teams to ensure infrastructure meets project scope. Monitored construction quality, prepared BOQ, and reviewed structural drawings (AutoCAD/Stad-Pro).
2) Mazagon Dock Shipbuilder's Ltd. â€” Civil Engineer Apprentice (March 2023 - March 2024)
   - Prepared detailed estimates and BOQ for RCC Road, Asphalt Road, Jetty, and building repair projects. Supervised construction sites; designed 2D drawings using AutoCAD, and prepared BBS and technical specifications.</t>
  </si>
  <si>
    <t>Naukri_PurvaNandgaonkar[2y_6m].pdf</t>
  </si>
  <si>
    <t>RONIT KASHINATH PATIL</t>
  </si>
  <si>
    <t>At-post:Kundevahal, Tal:Panvel,410206.Dist. Raigad</t>
  </si>
  <si>
    <t>8108530121 / 9137325303</t>
  </si>
  <si>
    <t>ronitpatil2300@gmail.com</t>
  </si>
  <si>
    <t>Bachelor of Engineering in Civil Engineering
Chhatrapati Shivaji Maharaj Institute of Technology
2022</t>
  </si>
  <si>
    <t>1) Biltrax Construction Data â€” Senior Analyst (02/2023 Present)
   - Collaborated cross-functionally to deliver customized data reports for enterprise clients. Strategically built a project intelligence pipeline for clients, contributing to product sales.
2) Urvi Enterprises â€” Site Engineer (07/2022 02/2023)
   - Oversaw construction activities in alignment with structural and architectural drawings. Maintained quality of work, controlled wastage of material, and prepared purchase orders.
3) SD Associates â€” Junior Engineer (07/2018 05/2019)
   - Prepared bills as per work executed by the contractor for residential projects. Executed finishing work according to detailed drawings and technical specifications.</t>
  </si>
  <si>
    <t>Raigad</t>
  </si>
  <si>
    <t>Naukri_RonitKashinathPatil[4y_1m].pdf</t>
  </si>
  <si>
    <t>Shubham Abhay Gandhi</t>
  </si>
  <si>
    <t>30th March 1996</t>
  </si>
  <si>
    <t>A/P Shivaji Chowk, Kasabe Sukene, Tal- Niphad, Dist- Nashik, Maharastra-422302.</t>
  </si>
  <si>
    <t>Flat No. 1, Hrutupurn Building, Lane No. 1-D, Pathare-Thubhe Nagar, Kharadi Bypass, Pune Maharastra-411014</t>
  </si>
  <si>
    <t>shubhamgs0330@gmail.com</t>
  </si>
  <si>
    <t>B.E. CIVIL
SNJBâ€™s K.B.J.College Of Engineering Nashik. Savitribai Phule, Pune University, Maharashta.
2020</t>
  </si>
  <si>
    <t>4 years 2 months</t>
  </si>
  <si>
    <t>1) PATHAK CONSULTANCY NASHIK â€”  (Dec-2020 to June-2021)
   - Maintained documentation records. Handled whole site operations.
2) P.D.FIRODIYA GROUP, PUNE â€”  (SEP-2021 To March-2025)
   - Managed material purchase &amp; site execution as per drawings. Resolved client queries and prepared BOQ &amp; required drawings.
3) MAKHWANA &amp; TANMAY CONSTRUCTION, PUNE â€”  (May-2025 To Ongoing)
   - Managed all ongoing site activities and tracked material requirements. Ensured timely work completion as per schedule and drawing.</t>
  </si>
  <si>
    <t>Nashik</t>
  </si>
  <si>
    <t>Naukri_ShubhamAbhayGandhi[4y_7m].pdf</t>
  </si>
  <si>
    <t>Tejas Pandey</t>
  </si>
  <si>
    <t>+91 9763395717</t>
  </si>
  <si>
    <t>tejaspandey666@gmail.com</t>
  </si>
  <si>
    <t xml:space="preserve">BE- Civil Engineering - Pillai HOC college of Engineering &amp; Technology (2023)
</t>
  </si>
  <si>
    <t>1) Amiand Consultancy Pvt. Ltd. â€” Project Engineer (Nov 2024 â€“ Present)
   - Monitored construction activities, ensuring alignment with approved drawings and specifications. Managed RFIs, technical queries, and verified contractor work meets quality and safety standards.
2) Vikas Construction Pvt. Ltd. â€” Site Engineer (July 2023 â€“ Oct 2024)
   - Monitored and supervised building construction activities like reinforcement, shuttering, and plumb line. Coordinated with labour teams for timely execution and ensured work adhered to approved drawings.</t>
  </si>
  <si>
    <t>Naukri_TejasPandey[2y_0m].pdf</t>
  </si>
  <si>
    <t>AGNIVESH SRIVASTAV</t>
  </si>
  <si>
    <t>Delhi NCR, India</t>
  </si>
  <si>
    <t>+91 9839762618</t>
  </si>
  <si>
    <t>agniveshsrivastav738@gmail.com</t>
  </si>
  <si>
    <t>MBA in Operations and Finance
NMIMS, Mumbai
2024</t>
  </si>
  <si>
    <t>4.5 years</t>
  </si>
  <si>
    <t>1) Expedien eSolutions Pvt Ltd â€” Consultant (Apr 2023 â€“ Present)
   - Defined business architecture and conducted Business Requirement Gathering (BRD) and Functional Requirement Specifications (FRS). Acted as the bridge between business users and technical teams, and coordinated User Acceptance Testing (UAT).
2) Quality Council of India â€” Analyst (Jan 2023 â€“ Apr 2023)
   - Built periodic MIS reports and dashboards, automating Power BI data refresh. Created financial and operational visualizations using advanced DAX measures.
3) Quality Council of India â€” Coordinator (Jan 2022 â€“ Dec 2022)
   - Handled invoicing for over 250 coal sector clients and drafted BRDs in consultation with stakeholders. Generated actionable insights through Power BI and Excel-based dashboards.
4) Quality Council of India â€” Management Trainee (Jan 2021 â€“ Dec 2021)
   - Coordinated 600 assessors across 200+ team projects pan-India. Led analytics for 4321 Urban Local Bodies on sanitation performance and ensured 100% data accuracy.</t>
  </si>
  <si>
    <t>Delhi NCR</t>
  </si>
  <si>
    <t>Naukri_AgniveshSrivastv[4y_6m].pdf</t>
  </si>
  <si>
    <t>DEBJANI OJHA</t>
  </si>
  <si>
    <t>KOLKATA, WEST BENGAL</t>
  </si>
  <si>
    <t>debjani0987.do@gmail.com</t>
  </si>
  <si>
    <t>BCA-MCA
TECHNO INDIA UNIVERSITY
2023</t>
  </si>
  <si>
    <t>0 years 8 months</t>
  </si>
  <si>
    <t>1) Acxiom Consulting Pvt. Ltd. â€” FUNCTIONAL CONSULTANT (March,2023 â€“ Current)
   - Provided techno-functional support for Microsoft Dynamics 365 (F&amp;O) and Retail POS; gathered business requirements and created BRDs/FDDs. Managed project coordination, conducted UAT, system debugging, and supported go-live rollouts, specializing in the jewelry retail domain.</t>
  </si>
  <si>
    <t>Kolkata</t>
  </si>
  <si>
    <t>Naukri_DEBJANIOJHA[2y_8m].pdf</t>
  </si>
  <si>
    <t>Kajol Lalwani</t>
  </si>
  <si>
    <t>Agra, India</t>
  </si>
  <si>
    <t>+91 78199 54813</t>
  </si>
  <si>
    <t>kajollalwani20@gmail.com</t>
  </si>
  <si>
    <t>BBA in Computer Application (BBA(CA))
Marathwada Mitra Mandalâ€™s College of Commerce
2024</t>
  </si>
  <si>
    <t>1) Lightspeed â€” Business Analyst (Nov 2024â€“Present)
   - Led project coordination and dispatch planning, improving logistics efficiency by 28%. Built real-time Power BI dashboards, reducing manual reporting by 35% and enhancing visibility.
2) Nishtya Infotech Pvt. Ltd. â€” IT Intern (June 2024â€“Aug 2024)
   - Supported project planning, improving process efficiency by 40%. Designed interactive Power BI dashboards and automated reporting, reducing analysis time by 30%.</t>
  </si>
  <si>
    <t>Agra</t>
  </si>
  <si>
    <t>Naukri_KajolLalwani[1y_6m].pdf</t>
  </si>
  <si>
    <t>KAVYA PATIL</t>
  </si>
  <si>
    <t>Bangalore</t>
  </si>
  <si>
    <t>kavyapatil013@gmail.com</t>
  </si>
  <si>
    <t>6 months</t>
  </si>
  <si>
    <t>1) Addpro Network Pvt. Ltd. â€” Project Coordinator (Internship / Trainee) (june 2024 â€“ october 2024)
   - Assisted in managing project timelines, deliverables, and team coordination for software development projects. Facilitated communication between cross-functional teams and maintained detailed project documentation.</t>
  </si>
  <si>
    <t>Bangalore Urban</t>
  </si>
  <si>
    <t>Naukri_KavyaPatil[Fresher].pdf</t>
  </si>
  <si>
    <t>MANGESH DURKAR</t>
  </si>
  <si>
    <t>Mumbai, India</t>
  </si>
  <si>
    <t>+91 99671-04101</t>
  </si>
  <si>
    <t>mangesh.durkar@gmail.com</t>
  </si>
  <si>
    <t>PGD â€“ Business Management
NMIMS Mumbai
2018</t>
  </si>
  <si>
    <t>13 years</t>
  </si>
  <si>
    <t>1) IXIA Solution LLP â€” Project Manager (January 2025 â€“ May 2025)
   - Comprehensive project planning, estimation, and automated tracking. Client relationship management and stakeholder communication. Quality analysis using statistical methods and data-driven decisions. Multi-project management with cross-functional teams and remote resources.
2) Cognigix Digital Learning Pvt. Ltd. â€” Project Manager (February 2021 - July 2023)
   - Implemented project management practices for a startup, addressing scope, risk, and collaboration. Established P/L reporting, timesheet management, and vendor relationships. Managed end-to-end digitization of HR onboarding platforms and launched a multi-language financial literacy platform.
3) IXIA Solution LLP â€” Project Manager (November 2019 - November 2020)
   - Managed eLearning platform development and LMS integration, delivering SCORM-compliant content. Conducted comprehensive project planning, budgeting, and resource allocation. Performed regular project reviews and client relationship management, measuring success through outcome analysis.
4) Praxis Technologies â€” Test Manager (October 2017 - October 2019)
   - Applied hybrid Waterfall-Agile methodology for complex conversion projects. Performed statistical Pareto analysis for bug categorization and prioritization. Led Flash to HTML5 conversion projects and managed gamified content conversion and testing.
5) Praxis Technologies â€” Associate Test Manager (August 2016 - September 2017)
   - Managed testing projects and optimized resource allocation. Developed Test Management Plans and initiated process improvement initiatives. Applied TO-DO-CHECK methodology based on Lean management. Conducted bug analysis using Pareto analysis for quality improvement.
6) Praxis Technologies â€” Test Lead (April 2013 - July 2016)
   - Led testing teams focusing on quality delivery and process adherence. Implemented quality improvement processes and team skill development. Managed complex testing scenarios and coordinated with stakeholders.
7) Praxis Technologies â€” Test Engineer (December 2009 - March 2013)
   - Performed technical testing and fundamental quality assurance. Contributed to core testing activities and ensured process adherence.</t>
  </si>
  <si>
    <t>Naukri_MangeshDurkar[13y_0m].pdf</t>
  </si>
  <si>
    <t>PRABHJOT KAUR</t>
  </si>
  <si>
    <t>New Delhi, India</t>
  </si>
  <si>
    <t>prabhjotdu97@gmail.com</t>
  </si>
  <si>
    <t>MBA â€“ Finance - Mangalayatan University
2025</t>
  </si>
  <si>
    <t>1) Quality Council of India (Ministry of Commerce and Industry) â€” Senior Analyst â€“ Strategic Programs (Jul 2021- Present)
   - Led third-party verification for 900+ Gram Panchayats with high data accuracy, improving MIS reporting compliance. Directed assessment of 2,147 warehouses across India, benchmarking infrastructure, safety, and operations for FCI reforms.</t>
  </si>
  <si>
    <t>Naukri_PrabhjotKaur[4y_2m].pdf</t>
  </si>
  <si>
    <t>P RAM NARESH</t>
  </si>
  <si>
    <t>Visakhapatnam, India</t>
  </si>
  <si>
    <t>prnaresh.prnaresh@gmail.com</t>
  </si>
  <si>
    <t xml:space="preserve">M.S Software Engineering
IIIT-Hyd.
</t>
  </si>
  <si>
    <t>10 years 3 months</t>
  </si>
  <si>
    <t>1) EnhanceEdu â€” Software Developer &amp; Manual Tester ()
   - Designed, developed, and tested Dashboard product. Prepared content for programming languages (Java, C) and performed manual testing using HTML, CSS, PHP, MySQL.
2) S-labs â€” IT Project Manager (2012 to 2016)
   - Managed project lifecycle including planning, tracking, budgeting, client communication, and quality assurance. Oversaw document management (URD, SRS, HLDD) and defect tracking in JIRA.
3) KIMS â€” Business Analyst (Feb-2016 to Aug-2016)
   - Analyzed healthcare software applications and gathered requirements from multiple hospital verticals. Prepared SOPs, improved user experience, and coordinated cross-department communication.
4) OTSI â€” Business Analyst (2018- 2019)
   - Interacted with government clients to understand requirements, develop use cases, and propose feasible solutions. Prepared and executed test cases, reported and triaged defects in JIRA.
5) Media3 International â€” IT Project Manager (2021- 2025)
   - Managed projects, training activities, and team handling following SDLC (waterfall/agile) and scrum meetings. Utilized JIRA for project tracking and client communication.
6) UNIADROITECH INNOVATION PVT LTD â€” IT Project Manager (Feb 2025 â€“ September 2025)
   - Led teams on products like Student, Leave, and Library Management Systems using Agile methods and Scrum meetings. Published 4 research papers in international conferences.</t>
  </si>
  <si>
    <t>Visakhapatnam</t>
  </si>
  <si>
    <t>Andhra Pradesh</t>
  </si>
  <si>
    <t>Naukri_RamNareshP[7y_6m].pdf</t>
  </si>
  <si>
    <t>DHARA.S.RANA</t>
  </si>
  <si>
    <t>30/09/1998</t>
  </si>
  <si>
    <t>E/93 Desai nagar Opp. Of tarsali lake Tarsali,Vadodara Pin : 390009</t>
  </si>
  <si>
    <t>dhararana3009@gmail.com</t>
  </si>
  <si>
    <t>B. Tech in Electronics and communication
DHARMSINH DESAI UNIVERSITY
2022</t>
  </si>
  <si>
    <t>3 years, 2 months</t>
  </si>
  <si>
    <t>1) CEAT TYRE .LTD VADODARA â€” QUALITY ASSURANCE (March 2021 TO Till Date)
   - Analyzed quality control test results and monitored quality control systems to ensure effectiveness. Conducted process and system audits, identifying quality problems and recommending solutions.</t>
  </si>
  <si>
    <t>Naukri_RanaDharaSureshbhai[4y_8m].pdf</t>
  </si>
  <si>
    <t>Sangita Bisht</t>
  </si>
  <si>
    <t>sangita.inn@gmail.com</t>
  </si>
  <si>
    <t>Master of Commerce (Business Administration &amp; Management)
2012</t>
  </si>
  <si>
    <t>14 years 5 months</t>
  </si>
  <si>
    <t>1) Analytix Solutions Pvt. Ltd. â€” Senior Officer â€“ Process &amp; Operations (July 2025 â€“ Nov 2025)
   - Managed complete AP &amp; AR operations and supported multi-location governance. Designed process trainings, developed SOPs, and built automation flows for report organization.
2) Conï¬dosoft Pvt. Ltd. â€” Manager â€“ Client Operations (2019 â€“ 2025)
   - Handled end-to-end AP/AR processes for hospitality clients and conducted regular client calls/trainings. Performed reconciliations, issue resolution, and suggested continuous process improvement ideas.
3) Tata Consultancy Services (TCS) â€” Account Payable Executive (2016 â€“ 2019)
   - Processed and validated AP transactions for BFSI clients. Resolved vendor issues and prepared analytical weekly reports for client and management review.
4) Tata Consultancy Services (TCS) â€” Quality Analyst &amp; Global SME (2011 â€“ 2015)
   - Served as Global SME ensuring process alignment across regions. Conducted data validation, reporting, and operational coordination with global teams.
5) India Bulls Securities Ltd. â€” Back OÆ¯ice Executive (2010 â€“ 2011)
   - Managed KYC, account opening, compliance documents, and branch-level operations.</t>
  </si>
  <si>
    <t>Naukri_SangitaBisht[14y_0m].pdf</t>
  </si>
  <si>
    <t>SK TAUFIQUE AHMED</t>
  </si>
  <si>
    <t>363/6 Satya Dayal Road Bye Lane</t>
  </si>
  <si>
    <t>+91 8478899396</t>
  </si>
  <si>
    <t>asktaufique@gmail.com</t>
  </si>
  <si>
    <t>1) Shaip.AI Data India LLP â€” Lead Project Delivery (2023 - Present)
   - Managed multiple projects, ensuring adherence to scope, timelines, and budgets. Coordinated cross-functional teams and resolved issues to ensure quality deliverables.</t>
  </si>
  <si>
    <t>Naukri_SkTaufiqueAhmed[3y_6m].pdf</t>
  </si>
  <si>
    <t>SWEETHA D</t>
  </si>
  <si>
    <t>dsweetha91@gmail.com</t>
  </si>
  <si>
    <t>M.Tech - Computer Science
BITS Pilani (WILP)
2017</t>
  </si>
  <si>
    <t>11 years, 3 months</t>
  </si>
  <si>
    <t>1) Entrans Technologies â€” Lead Quality Analyst (08/2023 - 12/2023)
   - Followed SDLC and Agile/Scrum for project management and efficient development. Performed comprehensive web, end-to-end, UAT, and regression testing across banking, B2C, and B2B domains. Managed defects and debugged software issues to ensure high-quality product delivery.
2) Wipro Technologies â€” Senior Project Engineer (09/2012 - 07/2023)
   - Validated user stories and conducted system, integration, and regression testing. Identified and resolved software defects, providing recommendations for improvements. Managed reporting, process compliance, and stakeholder communication for quality assurance.</t>
  </si>
  <si>
    <t>Naukri_SWEETHADLeadQAImmediateJoiner[1y_0m].pdf</t>
  </si>
  <si>
    <t>UTKARSH PANDEY</t>
  </si>
  <si>
    <t>Bangalore, 560102</t>
  </si>
  <si>
    <t>03utkarshpandey@gmail.com</t>
  </si>
  <si>
    <t>1) Infocreed Technologies â€” Project Manager Intern (Since August 2024)
   - Coordinated project schedules, identified risks, and implemented mitigation strategies. Spearheaded communication channels between cross-functional teams to resolve blockers. Led Agile ceremonies and maintained project documentation. Supported strategic resource allocation and workload distribution.
2) Capillary Technology â€” Technical Writer Intern (April 2024 to June 2024)
   - Collaborated with Product Managers and Business Analysts to analyze product data, extracting key insights. Crafted detailed user documentation using README and Markdown. Managed the resolution of API issues by reviewing and addressing backlog items.</t>
  </si>
  <si>
    <t>Naukri_UTKARSHPANDEY[Fresher].pdf</t>
  </si>
  <si>
    <t>VIRGINI C BOMMATHOTI</t>
  </si>
  <si>
    <t>bommathnatieginiegmatcom</t>
  </si>
  <si>
    <t>BACHELOR OF ENGINEERING (COMPUTER SCIENCE)
Visvesvaraya Technological University
2022</t>
  </si>
  <si>
    <t>1) LeadSquared â€” Executive Business Analyst (2022-2028)
   - Implemented CRM solutions across Education and EdTech, increasing lead capture by 80%. Conducted stakeholder interviews, gap analysis, and created detailed BRDs/FRDs, aligning business goals with technical delivery.</t>
  </si>
  <si>
    <t>Bengaluru</t>
  </si>
  <si>
    <t>Naukri_Virgini.C.Bommathoti[3y_0m].pdf</t>
  </si>
  <si>
    <t>Yash Singh Kathayat</t>
  </si>
  <si>
    <t>yashkathayat55@gmail.com</t>
  </si>
  <si>
    <t>Master of Computer Applications (MCA)
Quantum University
2026</t>
  </si>
  <si>
    <t>2 months</t>
  </si>
  <si>
    <t>1) Innobyte Services â€” Java Developer Intern (May 2024 â€“ Jun 2024)
   - Developed backend modules for an online quiz system using Java/Spring Boot. Designed &amp; deployed RESTful APIs for user/quiz management and results handling.</t>
  </si>
  <si>
    <t>Haridwar</t>
  </si>
  <si>
    <t>Uttarakhand</t>
  </si>
  <si>
    <t>Naukri_YashSinghKathayat[Fresher].pdf</t>
  </si>
  <si>
    <t>Akshay Nathu Kambale</t>
  </si>
  <si>
    <t>27th November 1992</t>
  </si>
  <si>
    <t>At: Bangaon, Post: Kherde, Tal: Chalisgaon</t>
  </si>
  <si>
    <t>Ahmednagar.</t>
  </si>
  <si>
    <t>+91 8806707057</t>
  </si>
  <si>
    <t>akshaykambale10@gmail.com</t>
  </si>
  <si>
    <t xml:space="preserve">1) MACJ Private Limited, Valsad. â€” Site Supervisor (October 2018 â€“ April 2020)
   - 
2) KP Construction, Nashik. â€” Site Supervisor (May 2020 â€“ June 2023)
   - 
3) NABCOS (Jal Jivan Project), Ahmednagar. â€” Site Engineer (July 2023 â€“ Present)
   - </t>
  </si>
  <si>
    <t>Ahmednagar</t>
  </si>
  <si>
    <t>Naukri_AkshayNathuKambale[5y_0m].pdf</t>
  </si>
  <si>
    <t>Nayan deep Naidu</t>
  </si>
  <si>
    <t>nayandeepnaidu@gmail.com</t>
  </si>
  <si>
    <t>MBA - Finance &amp; Operations
T. A. Pai Management Institute (TAPMI)
2024</t>
  </si>
  <si>
    <t>1) Photon Interactive â€” Project Analyst (04/2024 - Present)
   - Led Agile teams for JPMC and ExxonMobil, managing sprint ceremonies and ensuring high project health. Managed stakeholder communications, resolved daily incidents, streamlined onboarding, and maintained audit-ready documentation.
2) Mobilise â€” Marketing &amp; Strategy Intern (04/2023 - 06/2023)
   - Led the creation of an immersive experience center for Shell Komatsu. Directed development of a cloud kitchen concept for Conscious Food, increasing margins.
3) Softype â€” ERP Consultant (01/2020 - 03/2020)
   - Optimized ERP system design and workflows, driving departmental efficiency. Managed supply chain operations and utilized Oracle NetSuite for improved efficiency and stakeholder monitoring.</t>
  </si>
  <si>
    <t>Naukri_ANayandeepNaidu[2y_0m].pdf</t>
  </si>
  <si>
    <t>Chirag Rathod</t>
  </si>
  <si>
    <t>A-4/337, Vaikunth-2, New VIP Road, Vadodara - 390022</t>
  </si>
  <si>
    <t>www.chiragrathod789@gmail.com</t>
  </si>
  <si>
    <t>B. E. / Civil Engineering
Vadodara Institute of Engineering
2021</t>
  </si>
  <si>
    <t>1) Theodesh Consultant â€” Executive (Oct, 2023 - Apr, 2025)
   - Managed pipeline permission projects for clients. Coordinated reconnaissance and detailed survey activities. Monitored liaison officers' progress and ensured timely follow-ups. Prepared technical reports, approval letters, and online applications.
2) Vishwakarma Consultancy â€” Property Valuation Officer (May, 2022 - Sept, 2023)
   - Led the preparation of property valuation reports for banking clients. Verified legal property documents and identified discrepancies. Researched market values and negotiated final valuations. Personally handled high-value industrial and commercial property valuations.</t>
  </si>
  <si>
    <t>Naukri_ChiragRathod[2y_11m].pdf</t>
  </si>
  <si>
    <t>S Lakshmi Parvathi</t>
  </si>
  <si>
    <t>Hyderabad, Telangana.</t>
  </si>
  <si>
    <t>+91 7730849918</t>
  </si>
  <si>
    <t>sudiparvathi2@gmail.com</t>
  </si>
  <si>
    <t xml:space="preserve">Bachelors of degree, B.com computers
Rayalaseema University
</t>
  </si>
  <si>
    <t>1) AddIT Solutions Pvt Ltd â€” Project Coordinator (10/2024 - PRESENT)
   - Designed and managed comprehensive program plans and schedules for cross-functional software and digital transformation projects. Managed internal stakeholders, facilitated agile ceremonies, tracked project metrics, and reported program status including risks to ensure on-time delivery.</t>
  </si>
  <si>
    <t>Hyderabad</t>
  </si>
  <si>
    <t>Telangana</t>
  </si>
  <si>
    <t>Naukri_LakshmiParvathi[1y_0m].pdf</t>
  </si>
  <si>
    <t>LAXMINARAYAN RAJU GAIKWAD</t>
  </si>
  <si>
    <t>laxminarayang130@gmail.com</t>
  </si>
  <si>
    <t>1 year 10 months</t>
  </si>
  <si>
    <t>1) IGT SOLUTIONS â€” Process Coordinator (April 2022 â€“ Jan 2024)
   - Developed interactive dashboards to monitor KPIs like average resolution time and customer satisfaction. Utilized Power Query to clean, transform, and integrate data, and created efficient data models using DAX.
2) APTARA â€” Project Coordinator (Sept 2024 â€“ Current)
   - Developed comprehensive project plans, including detailed timelines, milestones, and resource allocation. Maintained meticulous project documentation and prepared regular project status reports for stakeholders.</t>
  </si>
  <si>
    <t>Pune</t>
  </si>
  <si>
    <t>Naukri_LaxminarayanGaikwad[3y_1m].pdf</t>
  </si>
  <si>
    <t>Madhurima Rahman</t>
  </si>
  <si>
    <t>Bengaluru, India</t>
  </si>
  <si>
    <t>+91 7002148796</t>
  </si>
  <si>
    <t>madhurimarahman996@gmail.com</t>
  </si>
  <si>
    <t>M.Sc. in Microbiology
Indian Academy Group of Institutions
2020</t>
  </si>
  <si>
    <t>1) Labcorp Drug Development â€” Senior Clinical Project Coordinator (Nov 2022 â€“ September 2025)
   - Led end-to-end coordination of clinical project deliverables, ensuring alignment with timelines, quality standards, and sponsor expectations. Coordinated project governance activities, ensuring adherence to GxP, SOPs, and regulatory guidelines. Managed multiple clinical databases.
2) Merck Pharmaceuticals â€” Trainee â€“ Trade Compliance (Mar 2020 â€“ Nov 2022)
   - Worked with Italy Order Screening Team to ensure trade compliance and accuracy in order processing. Reviewed and validated product documentation against compliance requirements.</t>
  </si>
  <si>
    <t>Naukri_MadhurimaRahman[4y_5m].pdf</t>
  </si>
  <si>
    <t>MEENAL JAIN</t>
  </si>
  <si>
    <t>16th March 1998</t>
  </si>
  <si>
    <t>Jaipur, Rajasthan</t>
  </si>
  <si>
    <t>jainmeenal555@gmail.com</t>
  </si>
  <si>
    <t>Master of Business Administration (MBA) - Project Management
Manipal University Jaipur
2025</t>
  </si>
  <si>
    <t>2 years 5 months</t>
  </si>
  <si>
    <t>1) Hues Fab â€” Associate Manager (May 2023 â€“ Present)
   - Managed daily operations and end-to-end supply chain for an e-commerce brand. Coordinated vendor relationships, customer escalations, and ensured timely order fulfillment. Led a small team to achieve business targets and maintain inventory accuracy.
2) Lancers Army School â€” Administrative Executive (Jun 2019 â€“ Apr 2021)
   - Coordinated cross-functional administrative projects, streamlining workflows and enhancing operational efficiency. Managed project documentation, data tracking, and communication plans. Assisted in project scheduling, resource allocation, and stakeholder coordination.</t>
  </si>
  <si>
    <t>Jaipur</t>
  </si>
  <si>
    <t>Gurgaon, Bangalore, Pune</t>
  </si>
  <si>
    <t>Naukri_MEENALJAIN[4y_5m].pdf</t>
  </si>
  <si>
    <t>RAJ KANOJIYA</t>
  </si>
  <si>
    <t>30/03/1998</t>
  </si>
  <si>
    <t>Golani complex varangaon road Bhusawal, Bhusawal, Maharashtra</t>
  </si>
  <si>
    <t>Rajkanojiya1998@gmail.com</t>
  </si>
  <si>
    <t>6 years 2 months</t>
  </si>
  <si>
    <t>1) Elw/railway Bhusawal â€” Computer hardware/network engineer (Jan-2017 - Nov-2019)
   - Managed annual maintenance of computers and peripherals.
2) Aarvee associates architects engineers and consultant Pvt.Ltd â€” Computer operator (Aug-2021 - Feb-2022)
   - Managed data and provided data by operating computers. Made appropriate changes to documentation as needed.
3) Prime computer â€” Computer technician ()
   - Set up hardware and installed software. Maintained technological equipment and managed software/networks.
4) Dlite blocks pvt ltd â€” Purchase executive (Mar-2022 - June- 2024)
   - Compared and evaluated supplier offers, negotiated contract terms and pricing. Tracked orders, ensured timely delivery, and reviewed product quality. Entered order details in Tally Prime.
5) Adit fiber â€” Technician (fiber splicer) BSNL NETWORK (June-2024 - Present)
   - Executed fiber splicing for clients, ensuring optimal connectivity. Operated splicing machines, conducted repairs on damaged cables. Installed and maintained fiber broadband equipment, ensuring compliance with standards.
6) Kolte associates LLP â€” IT ADMIN (20-Aug-2025 - Present)
   - Responsible for IT infrastructure management. Provided user support and help desk services. Ensured security and compliance.</t>
  </si>
  <si>
    <t>Bhusawal</t>
  </si>
  <si>
    <t>Naukri_Rajkanojiya[3y_6m].pdf</t>
  </si>
  <si>
    <t>RUPALI MOHITE</t>
  </si>
  <si>
    <t>mohiterooozogmail.com</t>
  </si>
  <si>
    <t>MBA
MITADY University Pune
2019</t>
  </si>
  <si>
    <t>1) Bla) Housing Finance LTD â€”  ()
   - Achieved and exceeded business goals through effective channel delivery and promotional plan implementation. Managed stakeholder communication, process improvement, and project execution aligned with business objectives.</t>
  </si>
  <si>
    <t>Naukri_RupaliMohite[3y_6m].pdf</t>
  </si>
  <si>
    <t>Kanagari Saikiran</t>
  </si>
  <si>
    <t>Hyderabad, Telangana, India</t>
  </si>
  <si>
    <t>Kiran.qa71@gmail.com</t>
  </si>
  <si>
    <t xml:space="preserve">Bachelor of Computer Science
SRR College, TG, India
</t>
  </si>
  <si>
    <t>1) SRR (T-HUB) â€” Software Test Engineer (08/2023â€“02/2024)
   - Created test scenarios and cases, implemented JUnit/TestNG automation framework. Analyzed test results, tracked defects, and performed regression testing for web and mobile applications.
2) Value Labs â€” Market Research Analyst (May 2024 â€“ September 2025)
   - Conducted B2B secondary market research, providing insights through customized industry reports and company profiling. Managed Salesforce CRM data and created Excel reports for competitive and trend analysis.</t>
  </si>
  <si>
    <t>Naukri_SaikiranKanagari[1y_5m].pdf</t>
  </si>
  <si>
    <t>SUNIL KUMAR SHARMA</t>
  </si>
  <si>
    <t>17/04/1999</t>
  </si>
  <si>
    <t>Vill : Shampur, Post + P.S : Isuapur, Dist : Saran, State : Bihar</t>
  </si>
  <si>
    <t>Gidc Nandesari, Vadodara, Gujarat</t>
  </si>
  <si>
    <t>sharma5678901@gmail.com</t>
  </si>
  <si>
    <t>1) Panoli Intermediates Ind Pvt Ltd Nandesari Vadodara â€” Project Management &amp; Maintenance Engineer ()
   - Managed 150TDP N-methyleanilne plant project, overseeing equipment erection, fitting, welding, and pipeline work. Developed project plans and ensured work quality/safety standards to prevent future losses and accidents.
2)  â€” Maintenance Engineer ()
   - Performed maintenance for a 1000TPD sulfuric acid plant, including major shutdowns. Responsible for process troubleshooting, start-up, and shutdown operations.
3)  â€” Maintenance Engineer ()
   - Conducted maintenance and inspection of equipment (reboiler, superheater, reactors, pumps) for a 250TDP NMA plant. Performed hands-on maintenance of plant utilities (RO, DM, boiler, cooling tower, heat exchangers).</t>
  </si>
  <si>
    <t>Saran</t>
  </si>
  <si>
    <t>Naukri_SUNILKUMARSHARMA[1y_3m].pdf</t>
  </si>
  <si>
    <t>TEJAS RANE</t>
  </si>
  <si>
    <t>14th October 1996</t>
  </si>
  <si>
    <t>B302, Zed Vee CHS, Sec 1 E, Kalamboli, Navi Mumbai - 410218</t>
  </si>
  <si>
    <t>+91 9082942722</t>
  </si>
  <si>
    <t>tejasrane2014@gmail.com</t>
  </si>
  <si>
    <t>Bachelor of Management Studies (HR)
Mumbai University
2018</t>
  </si>
  <si>
    <t>3.5 years</t>
  </si>
  <si>
    <t>1) Pacific Cooperation â€” Document Controller (September 2024 â€“ July 2025)
   - Oversaw client-submitted raw documents (challan plans, design reports, etc.) and organized them by project. Uploaded and maintained soft copies in SharePoint and software.
2) Expert Global Solutions â€” Document Controller (Aprâ€™24 â€“ Augâ€™24)
   - Maintained, updated, and managed all technical and project documents using EDMS, SAP, and Doc Pro. Ensured all documents complied with ISO standards and company policies, supporting audits.
3) One Subsea Pvt Ltd â€” Document Controller (Aprâ€™23 â€“ Febâ€™24)
   - Optimized ticket-based workflows, achieving a 95% compliance rate for document accuracy and timely processing. Ensured seamless acknowledgment tracking by efficiently uploading and managing documents in SAP.
4) Gluermak Sam India Pvt Ltd â€” Document Controller (Aprâ€™22 â€“ Decâ€™22)
   - Managed raw documents in SharePoint, ensuring regulatory compliance and seamless accessibility. Coordinated with procurement teams to expedite technical reviews.
5) ICICI Lombard General Insurance â€” Customer Care Representative (Octâ€™21 â€“ Aprâ€™22)
   - Resolved motor insurance queries, maintaining a 90% customer satisfaction rate through prompt and accurate responses. Ensured strict adherence to IRDA regulations, escalating critical issues for swift resolution.</t>
  </si>
  <si>
    <t>Naukri_TEJASRANE[4y_0m].pdf</t>
  </si>
  <si>
    <t>Umesh kumar patel</t>
  </si>
  <si>
    <t>umesh154217@gmail.com</t>
  </si>
  <si>
    <t>B.Tech/B.E.
Rajiv Gandhi Proudyogiki Vishwavidyalaya (RGPV)
2021</t>
  </si>
  <si>
    <t>1 Year 0 Month</t>
  </si>
  <si>
    <t xml:space="preserve">1) nectar india â€” Site Engineer (Jun 2025 - Present)
   - 
2) nectar india â€” civil site engineer (Jul 2025 - Aug 2025)
   - 
3) Nayak Consultancy â€” Site Engineer Manager (Nov 2024 - Jul 2025)
   - </t>
  </si>
  <si>
    <t>Bhopal</t>
  </si>
  <si>
    <t>Madhya Pradesh</t>
  </si>
  <si>
    <t>Naukri_UmeshKumarPatel[1y_6m].pdf</t>
  </si>
  <si>
    <t>Vivek Gupta</t>
  </si>
  <si>
    <t>Vadodara, Gujarat, India</t>
  </si>
  <si>
    <t>vivekgupta241201@gmail.com</t>
  </si>
  <si>
    <t>B.E. Mechanical Engineering
Sardar Vallabhbhai Patel Institute of Technology
2024</t>
  </si>
  <si>
    <t>0 years 9 months</t>
  </si>
  <si>
    <t>1) Cognition IES PRIVATE LIMITED â€” Associate Piping Engineer (07/2024 - Present)
   - Handling P&amp;ID validation, piping processes, and project planning using UPV (Universal Plant Viewer).
2) Engineering Technique â€” Application Engineer Intern (01/2024 - 03/2024)
   - Delivered pre-sales demonstrations and post-training support for SolidWorks and 3DEXPERIENCE, contributing to client adoption and technical success.</t>
  </si>
  <si>
    <t>Naukri_VIVEKGUPTA[1y_5m].pdf</t>
  </si>
  <si>
    <t>SHALU SHUKLA</t>
  </si>
  <si>
    <t>Sushant Lok Phase 1, Gurugram - 122001</t>
  </si>
  <si>
    <t>shuklashalu838@gmail.com</t>
  </si>
  <si>
    <t xml:space="preserve">Bachelor of Arts
Delhi University
</t>
  </si>
  <si>
    <t>1) Intertek Food Labs Pvt. Ltd. â€” Sales Support (2024 - 2025)
   - Managed B2B &amp; corporate accounts (Food Manufacturers, Exporters, etc.). Coordinated with Lab Teams for sample testing &amp; reporting.
2) Byjus Education â€” Senior Customer Support Professional (2023 - 2024)
   - Specialized in student and educator support, resolving issues. Managed escalations, support teams, and CRM systems.
3) Micromax &amp; Urban Comapny â€” Senior Customer Support Specialist (2021 - 2023)
   - Managed high-volume customer interactions and escalations. Optimized CRM processes to enhance customer satisfaction and retention.</t>
  </si>
  <si>
    <t>Gurugram</t>
  </si>
  <si>
    <t>Haryana</t>
  </si>
  <si>
    <t>Naukri_ShaluShukla[4y_6m].pdf</t>
  </si>
  <si>
    <t>Uppala Rajesh Gupta</t>
  </si>
  <si>
    <t>7-106, Salapu Street, Pachipenta Mandal, Vizianagaram District, Andhra Pradesh â€“ 535592</t>
  </si>
  <si>
    <t>rajeshguptauppala130@gmail.com</t>
  </si>
  <si>
    <t>B.Tech (ECE)
GVP-Satya Institute of Technology &amp; Management, JNTUK
2021</t>
  </si>
  <si>
    <t>1) Schneider Electric â€” Senior Site Engineer (July 2025 â€“ Present)
   - Managed logistics and vendor coordination for major data centre projects; Supervised a team of 12 site personnel, ensuring adherence to safety and quality standards.
2) Megha Engineering &amp; Infrastructures Ltd. (MEIL) â€” Electrical Engineer (July 2021 â€“ Apr 2025)
   - Maintained and operated 34 MW HV motors and irrigation pumping systems via SCADA; Directed erection and commissioning of pumping stations and substations, ensuring on-time project execution.</t>
  </si>
  <si>
    <t>Vizianagaram</t>
  </si>
  <si>
    <t>Naukri_UppalaRajeshGupta[4y_0m].pdf</t>
  </si>
  <si>
    <t>VINOD YADAV</t>
  </si>
  <si>
    <t>B-07, Maruti Nandan Society, B/h air force station, Makarpura, Vadodara- 390014</t>
  </si>
  <si>
    <t>+91 7405738874, +91 7284861624</t>
  </si>
  <si>
    <t>yadavbindu411@gmail.com</t>
  </si>
  <si>
    <t>1) ELCEN MACHINES PVT. LTD. â€” ASSISTANT ELECTRICAL QC ENGINEER (15/05/2017 to 30/11/2018 (18 months))
   - Assisted in electrical quality control processes; ensured product compliance and standards.
2) NAV PRODUCTS PVT. LTD. â€” TECHNICIAN in PRODUCT &amp; SERVICE LINE (01/12/2018 to current date)
   - Performed technical duties for products and services; managed product line operations.</t>
  </si>
  <si>
    <t>Naukri_VinodYadav[7y_0m].pdf</t>
  </si>
  <si>
    <t>SHUBHAM ARVINORAO MOHAD</t>
  </si>
  <si>
    <t>Mominpur, Post Andori, Tah. Deol, Dist Wardha ~ 442101</t>
  </si>
  <si>
    <t>shubhammohad3@gmailcom</t>
  </si>
  <si>
    <t xml:space="preserve">Bachelor of Engineering (Mechanical)
Nagpur University
</t>
  </si>
  <si>
    <t>1) SGS INDIA PVT. LTD. â€” Quality Inspection Engineer (September 2024 - Present)
   - Conduct quality inspection and testing of TMT bars in compliance with standards. Oversee rolling mill operations including billet reheating, rolling, quenching, and tempering.
2) TALMALE ITI COLLEGE â€” Craft Instructor (Mechanical) (2022 - 2024)
   - Provided practical training in mechanical concepts, quality control, and workshop operations. Supervised student projects and guided them in developing applied mechanical systems.</t>
  </si>
  <si>
    <t>Wardha</t>
  </si>
  <si>
    <t>ShubhamArvindraoMohad_3Lacs.pdf</t>
  </si>
  <si>
    <t>FARHATBANU MOHSINBHAI SHAIKH</t>
  </si>
  <si>
    <t>Ahmedabad, INDIA 382210</t>
  </si>
  <si>
    <t>farhatshaikh5678@gmail.com</t>
  </si>
  <si>
    <t>B.ED
Gujarat University
2023</t>
  </si>
  <si>
    <t>1) Smartshift Logistics Pvt Ltd â€” Business Associate, Porter (November 2019 - Current)
   - Managed client communications via phone and email; updated Key Matrix Dashboard in Google Sheets. Developed and executed marketing campaigns, increasing brand awareness.
2) Tata Motors â€” C.R.E and Receptionist (June 2018 - November 2019)
   - Provided customer service, addressing queries and offering assistance to visitors. Managed daily office operations, administrative support, and various clerical duties.
3) Authentic Computer Academy â€” Teacher (January 2018 - June 2018)
   - Taught computer courses including MS Office (Word, Excel, PowerPoint) and Tally to students. Maintained a positive classroom environment, promoting respectful communication.</t>
  </si>
  <si>
    <t>FARHATBANUMOHSINBHAISHAIK_Resume (1).pdf</t>
  </si>
  <si>
    <t>Kinnary Suryakant Patil</t>
  </si>
  <si>
    <t>17/12/1986</t>
  </si>
  <si>
    <t>369, Kanhayya Chawl, Pisawli Gaon, Post- Dworli, Dist â€“ Thane, Kalyan (e)</t>
  </si>
  <si>
    <t>kinnarypatil@yahoo.com</t>
  </si>
  <si>
    <t>B. Tech. Biotechnology
Rai Foundation College
2008</t>
  </si>
  <si>
    <t>1) Intertek India Pvt. Ltd â€” Sr. Executive Sales &amp; Coordination (Decâ€™24 onwards)
   - Managed national and international customer inquiries, preparing commercial offers in line with client requirements. Ensured timely resolution of commercial, technical, and operational inquiries. Coordinated projects end-to-end, managing payment follow-ups and customer databases.
2) TUV India Pvt. Ltd â€” Sr. Technical Sales Support (Project Leader â€“ Materials) (Julâ€™16 â€“ Octâ€™24)
   - Drove FCM testing business revenue to achieve monthly targets, generating new orders and retaining existing clients. Conducted technical feasibility for inquiries, prepared commercial offers, and managed end-to-end orders. Managed monthly business MIS and identified potential customers for cross-selling.
3) Envirocare Labs Pvt. Ltd. â€” Sales &amp; Technical Support Executive (Jan-2016 to Jul 2016)
   - Initiated lead generation, arranged offers, and conducted customer meetings, tracking the process to closure until payment receipt. Collaborated within departments to resolve technical and non-technical customer queries.
4) SRL Diagnostic Laboratories Pvt. Ltd. â€” Customer care/ Sales Support officer (April 2014 to June 2015)
   - Maintained detailed records of all customer interactions, including inquiries, complaints, resolutions, and feedback for continuous improvement. Executed digital promotion for health check-up plans and camps organized by the company.
5) Eco Laboratories Pvt. Ltd. â€” Customer Care / Sales coordinator (Oct 2013 to Feb 2014)
   - Coordinated with customers on quotation requests, sample collection, report updates, subcontracted work, and payment follow-ups. Resolved technical and non-technical queries and verified customer test reports for data accuracy.
6) MicroChem Silliker Laboratories Pvt. Ltd. â€” Customer Care Support (Nov 2009- Sept 2013)
   - Provided ongoing support to customers during testing, acting as a contact for inquiries, updates, and issue resolution. Scheduled and coordinated sample collection and client audits. Facilitated the registration of incoming samples and reviewed raw data in test reports for accuracy.</t>
  </si>
  <si>
    <t>Naukri_KinnaryPatil[13y_0m].pdf</t>
  </si>
  <si>
    <t>MAYANK JALAL</t>
  </si>
  <si>
    <t>Vill.Devipura Po.Chakluwa Distt.Nainital,State.Uttarakhand.</t>
  </si>
  <si>
    <t>Sector 27,Gurgaon</t>
  </si>
  <si>
    <t>mayankjalal1996@gmail.com</t>
  </si>
  <si>
    <t>1) Bureau Varitas India Private Limited â€” Engineer- Sales Proposal (05-Apr-2024 to Present)
   - Drove business development for I&amp;F product portfolio across sectors like Oil &amp; Gas, Power, and Infrastructure. Managed the complete tender process from cost estimation and technical replies to market surveys and client engagement in North India.
2) Angelique International Limited â€” Tender Preparation &amp; Documentation (13-Dec-2022 to 29-Mar-2024)
   - Managed end-to-end tender preparation, documentation, and searching. Conducted offer comparisons for various projects.
3) Laser Power And Infra Private Limited (International Bussiness Division) â€” Tender Preparation &amp; Client/Vendor Follow-up (04-Jan-2022 to 23-Dec-2022)
   - Handled comprehensive tender preparation, document accumulation, and offer comparisons. Coordinated extensively with clients, overseas vendors, and factory management.
4) Energo Construction Limited â€” Project Costing, Coordination &amp; O&amp;M ()
   - Prepared tenders including project costing and managed monthly budgets. Coordinated with various internal and external stakeholders for project operations and optimized costs for running projects.</t>
  </si>
  <si>
    <t>Nainital</t>
  </si>
  <si>
    <t>Naukri_MayankJalal[6y_6m].pdf</t>
  </si>
  <si>
    <t>MOHAMMAD SALEEM SHAIKH</t>
  </si>
  <si>
    <t>Mumbai, Maharashtra</t>
  </si>
  <si>
    <t>shkhsssaleem@gmail.com</t>
  </si>
  <si>
    <t>05+ years</t>
  </si>
  <si>
    <t>1) Ion Exchange India Ltd. â€” Lab Chemist &amp; DM Plant Operator (January 2020 â€” October 2021)
   - Performed quality analysis of steam, water, and oils. Operated and maintained water treatment systems, ensuring compliance with standards.
2) Chembond Chemicals Ltd. â€” Site Incharge (October 2021 â€” December 2024)
   - Maintained cooling tower and boiler water chemistry and managed wastewater treatment. Troubleshot heat exchanger issues and optimized cooling efficiency.
3) Bureau Veritas India Pvt. Ltd. â€” Sales &amp; Marketing Executive (February 2024 â€” Present)
   - Led client outreach to generate inquiries for environmental services and represented the company at exhibitions. Coordinated project execution and managed offers, tenders, and contracts.</t>
  </si>
  <si>
    <t>Naukri_SHAIKHMOHAMMADSALEEM[6y_0m].pdf</t>
  </si>
  <si>
    <t>Singh Sumit Kumar Ram</t>
  </si>
  <si>
    <t>27/12/1998</t>
  </si>
  <si>
    <t>Shree ram apartment room number G-1 near Darya Raja restaurant sector 16 Ghansoli Navi Mumbai 400701</t>
  </si>
  <si>
    <t>sumit121778@gmail.com</t>
  </si>
  <si>
    <t xml:space="preserve">HSC
Maharashtra state board
</t>
  </si>
  <si>
    <t>1) Tcr engineering services â€” Business Development Executive (2018 - Till now)
   - Managed client relationships and conducted market research for expansion. Ensured smooth project delivery and customer satisfaction through internal collaboration.</t>
  </si>
  <si>
    <t>Naukri_SinghSumitKumarRam[5y_0m].pdf</t>
  </si>
  <si>
    <t>Somesh Kumar Sahoo</t>
  </si>
  <si>
    <t>un married</t>
  </si>
  <si>
    <t>At - Sudarshan Enclave ,Housing board colony,Dumduma,Bhubaneswar Dist - khorda Pin -751019</t>
  </si>
  <si>
    <t>someshsahoo98@gmail.com</t>
  </si>
  <si>
    <t>MBA
Utkal university
Continuing</t>
  </si>
  <si>
    <t>1) Bureau veritas (India) Pvt Limited â€” Senior sales executive (1/07/2024 - Present)
   - Promoted Geotechnical work, PMC assistance, and NABL lab services. Developed client relationships, secured new business and achieved sales targets.
2) Captain Steel India limited. â€” Senior executive sales and marketing (11/12/2023 - 22/06/2024)
   - Conducted market research and managed B2B sales by visiting government institutions and sites. Conducted product demonstrations, created new sub-dealers, and achieved sales targets.
3) Shyam metallic and energy limited â€” Technical sales officer (18/04/2021 - 10/12/2023)
   - Developed new customers and managed sales from inquiry to closing for 'sel tiger' brand. Conducted product demonstrations and achieved a 17% increase in sales.</t>
  </si>
  <si>
    <t>khorda</t>
  </si>
  <si>
    <t>Naukri_SomeshKumarSahoo[4y_2m].pdf</t>
  </si>
  <si>
    <t>Subhaprasanna Das</t>
  </si>
  <si>
    <t>Halisahar ,Dist. North 24 Parganas - 743136, West Bengal ,India.</t>
  </si>
  <si>
    <t>das.subhaprasanna@gmail.com</t>
  </si>
  <si>
    <t>18 years</t>
  </si>
  <si>
    <t xml:space="preserve">1) SGS India Pvt Ltd â€” Sr Executive Sales (Novâ€™2017-present)
   - Built client base for technical analysis service, managed existing and new clients. Launched digital sensory food analysis services and successfully negotiated contracts. Managed a two-member team and reviewed performance targets.
2) Edward Food Research and Analysis Centre Ltd. â€” Sr Sales Coordinator (Aprâ€™2016-Novâ€™2017)
   - 
3) GATI KWE Pvt Ltd â€” Business Development Executive (Junâ€™2014-Aprilâ€™2016)
   - 
4) Associated Road Carriers Ltd â€” Sales Officer (Octâ€™2004-Junâ€™2014)
   - </t>
  </si>
  <si>
    <t>North 24 Parganas</t>
  </si>
  <si>
    <t>Naukri_SubhaprasannaDas[18y_0m].pdf</t>
  </si>
  <si>
    <t>YAGNA D. MISTRY</t>
  </si>
  <si>
    <t>1st April 1994</t>
  </si>
  <si>
    <t>B/32 Suryoday Park B/h. T.B Hospital Gotri Road. Vadodara.</t>
  </si>
  <si>
    <t>yagnamistry1@gmail.com</t>
  </si>
  <si>
    <t>CCC Courses
SAKSHAR ACADEMY
2022</t>
  </si>
  <si>
    <t>Naukri_YAGNADIKPALMISTRY[2y_7m].pdf</t>
  </si>
  <si>
    <t>ABDUL RAHMAN KHAN</t>
  </si>
  <si>
    <t>Balrampur, Uttar Pradesh</t>
  </si>
  <si>
    <t>B.Tech - Computer Science and Engineering
Lovely Professional University
2022</t>
  </si>
  <si>
    <t>0 years 6 months</t>
  </si>
  <si>
    <t>1) Hopping MindsW â€” Front End Developer (May 2022 â€“ Oct 2022)
   - Created and maintained front-end code for e-Commerce websites, implemented chatbots decreasing response time by 70%. Optimized web assets, reducing page load times by 20%.</t>
  </si>
  <si>
    <t>Balrampur</t>
  </si>
  <si>
    <t>Naukri_AbdulRahmanKhan[1y_3m].pdf</t>
  </si>
  <si>
    <t>AJAJ HALDARVA</t>
  </si>
  <si>
    <t>Palej -392220, Ta-Dist- Bharuch</t>
  </si>
  <si>
    <t>ajajhaldarva997877@gmail.com</t>
  </si>
  <si>
    <t>MBA in Marketing
Indu Management Institute
2019</t>
  </si>
  <si>
    <t>3 years 10 months</t>
  </si>
  <si>
    <t>1) Gayatri Plastics Pvt Ltd â€” Marketing Executive (Feb. 2021 â€“ Jan 2024)
   - Managed full inquiry-to-order process, including client coordination and proposal submission. Handled techno-commercial execution, production coordination, and prepared daily/weekly administrative reports.
2) Reliance Jio (Quess Corp contract) â€” Real Estate Field Officer (March 2020 â€“ May 2020)
   - Conducted rental negotiations, managed lease agreements and legal formalities. Identified tower sites, guided technical surveys, and collected owner demands for due diligence.
3) Hind Intelligent Security &amp; Allied Service â€” Business Development exc. cum back officer (Aug. 2019 â€“ Feb. 2020)
   - Handled billing, managed guard wages, and maintained documents for security services. Communicated with clients/guards, identified market opportunities, and prepared quotations.
4) Baroda District Co-Operative Milk Producers' Union Limited â€” MBA Intern (May 2018)
   - Researched packaging impact on customer buying behavior for dairy products. Identified dairy parlor problems and optimized product delivery schedules.
5) Sodh Yatra, Vilayat -Bharuch â€” Engineering Intern (May 2016 â€“ Jun 2016)
   - Performed detailed analyses of site activities, leading to a 25% increase in productivity. Prepared site reports and metrics for data-driven decision-making.</t>
  </si>
  <si>
    <t>Naukri_AJAJBHAIAHEMADBHAIHALDARVA[4y_0m].pdf</t>
  </si>
  <si>
    <t>Anjali Vasava</t>
  </si>
  <si>
    <t>Jhagadia, Bharuch, INDIA</t>
  </si>
  <si>
    <t>anjalivasava35@gmail.com</t>
  </si>
  <si>
    <t>MSW
Veer Narmad South Gujarat University (VNSGU)
2025</t>
  </si>
  <si>
    <t>1 Year 6 Months</t>
  </si>
  <si>
    <t>1) Shrimati Jayaben Modi Multi-speciality Hospital â€” Coordinator ()
   - Counseled and coordinated activities, including field work in MHU. Managed staff, data, and prepared work reports.
2) Deepak foundation,Dahej â€” Counsellor ()
   - Provided counseling for Anemia project, SMN children, and adolescents. Conducted general health awareness, field work, home visits, and data management.</t>
  </si>
  <si>
    <t>Naukri_AnjaliVasava[1y_6m].pdf</t>
  </si>
  <si>
    <t>BHOBHARE KIRTI RAVIBHAI</t>
  </si>
  <si>
    <t>165, Ghanshyam Nagar Soc., Dabholi Road , Suat, Gujarat</t>
  </si>
  <si>
    <t>kirtisali68@gmail.com</t>
  </si>
  <si>
    <t>1) SRF Limited, Bharuch â€” Apprentice in Production Department (23-08-2024)
   - Learned raw material conversion processes and safe operations. Gained experience in DCS Field operation, troubleshooting, and documentation including PSSR, PSM, MOC.
2) Zydus Lifesciences Ltd. â€” Intern â€“ Process Engineering ()
   - Gained hands-on exposure to industrial chemical engineering principles in pharmaceutical manufacturing. Performed basic equipment design calculations and capacity estimation.</t>
  </si>
  <si>
    <t>Suat</t>
  </si>
  <si>
    <t>Naukri_BhobhareKirtiRavibhai[1y_0m].pdf</t>
  </si>
  <si>
    <t>Divya Thakur</t>
  </si>
  <si>
    <t>Indore, 452010</t>
  </si>
  <si>
    <t>divyathakur0669@gmail.com</t>
  </si>
  <si>
    <t>MBA in Marketing &amp; Information Technology
Devi Ahilya University, Indore
2022</t>
  </si>
  <si>
    <t>1) Sterlite Technologies Limited (STL) â€” Campus Manager (July 2022 â€“ Present)
   - Led Admissions &amp; Operations teams; managed ERP/CRM systems (MY STL, NPF) for efficiency, including class, subject, marks, and student reporting.
2) iNurture Education Solutions â€” Business Development Manager (January 2022 â€“ June 2022)
   - Managed counseling and admissions using LeadSquared CRM; conducted outreach seminars and converted leads into admissions.
3) Siddhi Vinayak Construction Pvt. Ltd. â€” Operations &amp; Accounts Executive (November 2020 â€“ January 2022)
   - Handled financial transactions, data evaluation, and accounting documentation; oversaw budgeting, vendor negotiations, and operational compliance.</t>
  </si>
  <si>
    <t>Indore</t>
  </si>
  <si>
    <t>Naukri_DivyaThakur[5y_0m].pdf</t>
  </si>
  <si>
    <t>Gowtham T</t>
  </si>
  <si>
    <t>20.05.1995</t>
  </si>
  <si>
    <t>24, Vivekanandar St, Anna Nagar, Kallakurichi</t>
  </si>
  <si>
    <t>gowthamkarthikeyanct@gmail.com</t>
  </si>
  <si>
    <t>6 years 11 months</t>
  </si>
  <si>
    <t>1) Way 2 News Pvt Ltd â€” Manager (March 2025 â€“ Till date)
   - Set targets for campaigns and track their effectiveness. Supervise local marketing teams and coordinate with sales for alignment.
2) Reliance Jio Infocom Ltd â€” Assistant Manager (Fiber Lead) (August 2023 â€“ March 2025)
   - Handled the Fiber Business and monitored partner team execution. Responsible for service and sales targets and ensured ROI for the JC.
3) TV Sundram Iyengar and Sons Pvt Ltd., â€” Sales Executive &amp; Warehouse management (August 2018 â€“ July 2023)
   - Identified and approached potential customers, meeting monthly/quarterly sales targets. Managed warehouse operations, including inventory records and dispatch.</t>
  </si>
  <si>
    <t>Kallakurichi</t>
  </si>
  <si>
    <t>Tamil Nadu</t>
  </si>
  <si>
    <t>Naukri_GOWTHAMKARTHIKEYAN[7y_0m].pdf</t>
  </si>
  <si>
    <t>Pathan Salman Khan</t>
  </si>
  <si>
    <t>(+91) 9574846063</t>
  </si>
  <si>
    <t>sp5060330@gmail.com</t>
  </si>
  <si>
    <t>M.Com
Shree govind guru University
2018</t>
  </si>
  <si>
    <t>3 Years 9 Months</t>
  </si>
  <si>
    <t>1) DGSM &amp; Co â€” Account Coordinator (Oct 2021 - Sep 2022)
   - Taluka panchayat and gram panchayat day Book data entry
2) Pipara &amp; Co â€” Account Coordinator (Dec 2022 - Present)
   - Taluka panchayat and gram panchayat day Book data entry</t>
  </si>
  <si>
    <t>Naukri_PathanSalman[3y_0m].pdf</t>
  </si>
  <si>
    <t>Pavan Kumar Sahu</t>
  </si>
  <si>
    <t>21-07-2001</t>
  </si>
  <si>
    <t>Gopalpur, Nowrozabad Disst- Umaria, Madhya Pradesh, 484555</t>
  </si>
  <si>
    <t>9644584323, 6266214469</t>
  </si>
  <si>
    <t>pawansahu4323@gmail.com</t>
  </si>
  <si>
    <t>MA
APSU Rewa
2025</t>
  </si>
  <si>
    <t xml:space="preserve">1) Relince Retail SMSL Privete Limited (Jio Mobility) â€” JPAM Jio point assistant manager (01-05-2022 - 20-09-2024)
   - 
2) HDFC ERGO GENERAL INSURANCE COMPANY LTD â€” Senior executive (24-09-2024 - currently working)
   - </t>
  </si>
  <si>
    <t>Umaria</t>
  </si>
  <si>
    <t>Naukri_PavanKumarSahu[4y_0m].pdf</t>
  </si>
  <si>
    <t>SNEH KESHAV DAVE</t>
  </si>
  <si>
    <t>Mira- Bhayander , Thane</t>
  </si>
  <si>
    <t>+91 9987266889</t>
  </si>
  <si>
    <t>davesneh1646@gmail.com</t>
  </si>
  <si>
    <t>1) AMIAND CONSULTING PVT LTD â€” Project Engineer / Project Coordinator / Client Coordinator (July 2024 - Present)
   - Led planning and coordination of bridge infrastructure projects with MCGM. Managed project scheduling, stakeholder communication, and monitored financial performance. Ensured smooth processing of approvals and invoices.
2) VEER INFRA Projects PVT LTS â€” Quantity Estimator and Site Engineer (January 2023 to January 2024)
   - Managed on-site construction, resolved site constraints, and prepared BOQs. Monitored project progress and coordinated resources for timely execution.
3) ANJANI CONSTRUCTIONS â€” Quantity Estimator and Site Engineer (April 2022 to August 2022)
   - Managed on-site construction, resolved site constraints, and prepared BOQs. Monitored project progress and coordinated resources.</t>
  </si>
  <si>
    <t>Naukri_SNEHDAVE[3y_6m].pdf</t>
  </si>
  <si>
    <t>Tejal Rajendra Mali</t>
  </si>
  <si>
    <t>15th July 1997</t>
  </si>
  <si>
    <t>Flat No.10, Akshar Reality Apartment, Pathardi Phata , Nashik</t>
  </si>
  <si>
    <t>trmali97@gmail.com</t>
  </si>
  <si>
    <t>M.E. (EPS)
K.K.Wagh Institute of Engineering and Research, Nashik
2024</t>
  </si>
  <si>
    <t>1.5 yrs.</t>
  </si>
  <si>
    <t>1) CG Power and Industrial Solutions Limited (CGPISL) â€” Project Co-ordinator (Exports Marketing) (1.5 yrs.)
   - Executed MV-HV, EHV Switchgear orders for SEA, LATAM, AFRICA regions; coordinated with engineering and customers for approvals and issue resolution. Monitored project financials, invoicing, and managed FAT, dispatch, and logistics.</t>
  </si>
  <si>
    <t>Naukri_TejalRajendraMali[3y_0m].pdf</t>
  </si>
  <si>
    <t>MOHAMMADSOAEB THAKOR</t>
  </si>
  <si>
    <t>Mohammadi Society, Dakor Road, Bhalej, Anand, Gujarat</t>
  </si>
  <si>
    <t>Soaebthakor@gmail.com</t>
  </si>
  <si>
    <t>B.E. Mechanical Engineering
Gujarat Technological University
2021</t>
  </si>
  <si>
    <t>1) Corwind Renergy â€” Project Coordinator (02/2024 â€“ Present)
   - Supported Project Manager in solar rooftop site execution and acted as a single point of contact for clients, vendors, and internal teams.
Supervised site execution teams, prepared Daily Progress Reports, and managed procurement, vendor follow-ups, and BOQ.</t>
  </si>
  <si>
    <t>Anand</t>
  </si>
  <si>
    <t>Naukri_ThakorMohammadsoaebKadarmiya[1y_8m].pdf</t>
  </si>
  <si>
    <t>ABHISHEK KAKRAN</t>
  </si>
  <si>
    <t>Hno-749, Tara Nagar,NearSec-9-11, Hisar,Haryana-125001</t>
  </si>
  <si>
    <t>+917015682377, +91 8569984813</t>
  </si>
  <si>
    <t>Abhishekkakran2000@gmail.com</t>
  </si>
  <si>
    <t>Bachelor of Business Administration (BBA)
Padmashree Dr. D. Y. Patil Vidyapeeth
2026</t>
  </si>
  <si>
    <t>6 Years 2 Months</t>
  </si>
  <si>
    <t>1) Westpoint Vision India â€” Quality control &amp; Supplier management (Jun 2025 â€“ Present)
   - Oversee quality management and supplier coordination, ensuring product compliance and timely delivery.
Conduct supplier audits and lead meetings to address quality parameters and support new product development.
2) Mohan Spintex India Ltd â€” Assistant Manager QA (Aug 2022 â€“ Jun 2025)
   - Managed third-party/buyer inspections and Compliance Audits as a Certified auditor for Landsend.
Supervised shift activities, including stitching process monitoring and product packaging.
3) SGS India Pvt Ltd â€” Executive (Connectivity and Product) (Feb 2022 â€“ Aug 2022)
   - Led third-party inspections across softline and hardline categories.
Managed key accounts for major industry buyers, ensuring consistent quality.
4) Himatsingka Linen â€” Executive QA (June 2019 â€“ Feb 2022)
   - Conducted internal buyer inspections and led pre-production meetings.
Oversaw vendor evaluations, factory audits, and quality improvement strategies, focusing on rejection control.
5) Shahi Export Ghaziabad â€” Internship (Quality Control &amp; Waste Reduction Project) (June 2018 â€“ July 2018)
   - Conducted a project focused on waste reduction in air-jet loom operations.</t>
  </si>
  <si>
    <t>Hisar</t>
  </si>
  <si>
    <t>AbhishekKakran_7lac.pdf</t>
  </si>
  <si>
    <t>Anilkumar Rathod</t>
  </si>
  <si>
    <t>08th Oct 1998</t>
  </si>
  <si>
    <t>Jaganath Mahadevapura Near NDDB Road Anand.</t>
  </si>
  <si>
    <t>rathodanil81098@gmail.com</t>
  </si>
  <si>
    <t>4 years 5 months</t>
  </si>
  <si>
    <t>1) Elecon engineering company ltd â€” Quality control engineer (11 Months)
   - Verified Helical and worm type gearbox components (gear wheel, pinion shaft, etc.) dimensionally, visually, and geometrically. Supported quality inspection team in fault-finding and problem-solving. Entered data into ERP system and prepared reports.
2) flow jet valve ltd â€” Quality control engineer (4 months)
   - Verified Casting and machining of various Valves like Gate, globe, butterfly, and check valves. Entered data into ERP system, prepared reports, and generated Material Test Certificates.
3) TUV Rheinland India pvt ltd â€” Senior Quality Engineer (3 year &amp; 2 Months)
   - Verified components such as gear wheels, shafts, couplings, gearboxes, and railway wheels (dimensional, visual, geometrical). Witnessed NDT procedures (UT, MPI, LPT) and conducted internal audits of machining processes. Led investigations into quality-related issues, identifying root causes and implementing preventive measures.</t>
  </si>
  <si>
    <t>Naukri_anilrathod[5y_0m].pdf</t>
  </si>
  <si>
    <t>Kajol Yadav</t>
  </si>
  <si>
    <t>Varansi (UP), IN 221002</t>
  </si>
  <si>
    <t>B.Tech
AITM, Varanasi
2020</t>
  </si>
  <si>
    <t>1) Moksh tech private ltd â€” Sr. Estimation Engineer (2025-04 - Current)
   - Analyzed architecture drawings and project specifications, calculated material quantities. Utilized CAD software (Bluebeam, Planswift, Autocad) and managed documentation in Excel.
2) Techinterio Private Limited â€” Sr. Estimator &amp; Reviewer (2021-11 - 2025-04)
   - Estimated and reviewed quantities for residential &amp; commercial buildings. Drafted quantities for wall, floor, roof, and other interior &amp; exterior works.
3) Paridhi Engineers â€” Project Coordinator (2021-06 - 2021-11)
   - Coordinated cross-functional teams to achieve project objectives. Facilitated frequent progress reports and presentations to management.</t>
  </si>
  <si>
    <t>Varanasi</t>
  </si>
  <si>
    <t>Naukri_KajolYadav[4y_0m].pdf</t>
  </si>
  <si>
    <t>MANASH DEKA</t>
  </si>
  <si>
    <t>25/03/1998</t>
  </si>
  <si>
    <t>SAUKUCHI NEAR SRINIVASA RAMANUJAN ACADEMY, GUWAHATI , ASSAM Pin Code:-781040</t>
  </si>
  <si>
    <t>+91 7002915198</t>
  </si>
  <si>
    <t>thecommonman0111@gmail.com</t>
  </si>
  <si>
    <t>B.TECH IN CIVIL ENGINEERING
RAIPUR INSTITUTE OF TECH
2023</t>
  </si>
  <si>
    <t>5+ years</t>
  </si>
  <si>
    <t>1) ASSAM ROAD RESEARCH &amp; TRAINING INSTITUTE PWRD, FATASHIL, AMBARI GUWAHATI-25 â€” QC TECHNICAL STAFF (contractual) (01/10/20 - 25/02/21)
   - Performed various lab tests like Direct Shear, Grading Analysis, Specific Gravity, Moisture Content, Unconfined Compressive Strength, Sieve Analysis, Proctor, and Field Density. Conducted Bitumen Tests (penetration, ductility, specific gravity, softening point).
2) ABCI INFRASTRUCTURE PVT. LTD. â€” CIVIL ENGINEER (RAILWAY TUNNEL) (01/03/21 - 15/03/23)
   - Managed site execution, daily project reporting, and labor/material/instrument management. Involved in drilling, blasting, mucking, shotcrete, rock anchoring, wall beam, lattice grider, ISMB, rib support, and consolidation grouting.
3) P.W.D HAFLONG BUILDING DIVISION â€” TECHNICAL STAFF (J.E contractual) (01/04/23 - 31/03/24)
   - Handled technical sanctions, work orders, and tendering related paperwork. Conducted site visits, measurement book records, CAD Design &amp; Rendering, Drawing Reading, Estimation, and Billing.
4) SRI BIMAL HANSE (Govt. Registered Contractor, P.W.D(R&amp;B) Hills, Assam, Haflong) â€” CIVIL ENGINEER (01/04/24 - 12/12/24)
   - Conducted site visits, ensured execution according to drawings, and prepared daily project reports. Managed labor, materials, and machinery; performed CAD design, estimation, and billing.
5) ONYCON INFRA LLP â€” Sr. CIVIL ENGINEER (HYDRO POWER &amp; TUNNEL PROJECT) (26/12/24 - 01/03/25)
   - Oversaw site execution, daily project reports, and labor/material/instrument management. Involved in drilling, blasting, mechanical excavation, mucking, rock anchoring, wall beam, ISMB rib erection, consolidation grouting, and slope protection.
6) JAGYA CONSTRUCTION PVT. LTD. â€” Sr. CIVIL ENGINEER (07/03/25 - Present)
   - Conducted site visits, ensured execution per drawings, and managed client/contractor/labor relations. Maintained technical progress, daily project reports, and managed labor/material/machinery.</t>
  </si>
  <si>
    <t>GUWAHATI</t>
  </si>
  <si>
    <t>ASSAM</t>
  </si>
  <si>
    <t>Naukri_MANASHDEKA[5y_0m].pdf</t>
  </si>
  <si>
    <t>Manisha Devi</t>
  </si>
  <si>
    <t>mishusandhu2811@gmail.com</t>
  </si>
  <si>
    <t>B. Tech. Civil Engineering
CT Institute of Engineering Management &amp; Technology, Shahpur, Jalandher.(PTU)
2020</t>
  </si>
  <si>
    <t>1) Vascon Engineers Limited â€” Quantity Surveyor &amp; Billing Engineer (JUNE 2021 - PRESENT)
   - Prepared measurement sheets and assisted in quantity take-off for tenders. Managed contractor billing, and reviewed and approved drawings/samples.
2) Madhu Electricals â€” Jr. Quantity Surveyor &amp; AutoCAD Engineer (JANUARY 2021 â€“ MAY 2021)
   - Assisted in design reviews and coordinated with subcontractors for cost optimization. Designed MEP drawings as per NBC rules and prepared layout drawings.</t>
  </si>
  <si>
    <t>Jalandhar</t>
  </si>
  <si>
    <t>Punjab</t>
  </si>
  <si>
    <t>Naukri_ManishaDevi[4y_1m].pdf</t>
  </si>
  <si>
    <t>Md Nayab Raza</t>
  </si>
  <si>
    <t>Patna Bihar</t>
  </si>
  <si>
    <t>mdnayabraza327@gmail.com</t>
  </si>
  <si>
    <t>B -Tech In Civil Engineering
Maulana Azad College Of Engineering and Technology
2020</t>
  </si>
  <si>
    <t>1) RCC Developers Limited â€” BBS Engineer (09/02/2023 - 14/12/2024)
   - Prepared detailed bar bending schedules for reinforced concrete structures. Performed calculations for required reinforcement and optimized material usage.
2) Manomav Engineers Pvt. Ltd â€” BBS Engineer (24/01/2021 - 18/11/2022)
   - Developed efficient bar bending schedules, improving construction productivity. Ensured accurate calculations and detailing of reinforcement steel.
3) The Raj Bhawan â€” Civil Site Engineer (09/01/2025 - Present)
   - Managed site activities and coordinated with contractors. Ensured project compliance and timely project delivery.</t>
  </si>
  <si>
    <t>Naukri_MDNAYABRAZA[4y_6m].pdf</t>
  </si>
  <si>
    <t>ANIL KUMAR BILLE</t>
  </si>
  <si>
    <t>Door No.4-156, BC Colony, Tadimarri Mandal &amp; Village, Sri Sathya Sai District - 515631.</t>
  </si>
  <si>
    <t>+91 91103 16165</t>
  </si>
  <si>
    <t>anilanil3222@gmail.com</t>
  </si>
  <si>
    <t>B. Tech in Civil Engineering
Newtons Institute of Science and Technology
2021</t>
  </si>
  <si>
    <t>1) TSR Constructions â€” CIVIL ENGINEER / QUANTITY ENGINEER (May-2024 to Still Now)
   - Prepared and verified Bill of Quantities (BOQ), conducted detailed quantity take-offs using AutoCAD and Excel, coordinated with stakeholders, executed civil works, and managed project documentation and billing.
2) Siva Sai Design Solutions â€” DESIGN ENGINEER (May-2022 to May-2024)
   - Assisted in site execution, prepared AutoCAD drawings for revisions and municipal approvals, and maintained project billing and material usage records.
3) Sri Sai Sankalpa Architects â€” TECHNICAL ARCHITRCT (March-2022 to May-2022)
   - Prepared AutoCAD drawings for minor revisions and site instructions, executed interior finishing works and site inspections, and modified drawings based on site visits.</t>
  </si>
  <si>
    <t>Sri Sathya Sai District</t>
  </si>
  <si>
    <t>Naukri_ANILKUMARBILLE[3y_3m].pdf</t>
  </si>
  <si>
    <t>SHARMA RAVI R.</t>
  </si>
  <si>
    <t>Krishna Sheri, Vachlu Faliyu, Danteshwar, Pratapanagar, Vadodara- 390004</t>
  </si>
  <si>
    <t>sharmaravii1234@gmail.com</t>
  </si>
  <si>
    <t>SSC
GSEB
2017</t>
  </si>
  <si>
    <t>1 Year</t>
  </si>
  <si>
    <t>1) Microfine Products â€” Vmc Machine Operator (1 Year)
   - Operated VMC machine.</t>
  </si>
  <si>
    <t>6354451986.pdf</t>
  </si>
  <si>
    <t>Saharvadi Noormamad</t>
  </si>
  <si>
    <t>Near Hanuman Temple, Gandhinagari, Okha Port â€“ 361350.</t>
  </si>
  <si>
    <t>+91 9723995928, 8487995928</t>
  </si>
  <si>
    <t>jaanoomd68@gmail.com</t>
  </si>
  <si>
    <t>S.S.C.
Gujarat Secondary Education Board, Gandhinagar
2013</t>
  </si>
  <si>
    <t>12 years 3 months</t>
  </si>
  <si>
    <t>1) Indian Navy (INS Dwarka) â€” DG set Operator (Aug 2004 to Jan 2009)
   - Operated DG sets and maintained electrical equipment to ensure continuous service without interruption.
2) Asian Marine (Okha) â€” Field Supervisor (Apr 2014 to Dec 2017)
   - Supervised field operations, managed electrical appliance repairs, and ensured perfection with quick resolution.
3) PGVCL Under Contract Shree Bhagvati Construction (Bhimrana) â€” LT &amp; 11kv Line Field Maintenance Supervisor (Jan 2018 to Dec 2022)
   - Supervised maintenance of LT &amp; 11kv lines, troubleshooting and repairing electrical circuits and equipment.</t>
  </si>
  <si>
    <t>Okha</t>
  </si>
  <si>
    <t>97239 95928 CV.pdf</t>
  </si>
  <si>
    <t>KARMUR VIVEK JIVABHAI</t>
  </si>
  <si>
    <t>28/06/2003</t>
  </si>
  <si>
    <t>BHAKTINAGAR, B/H DIGJAM WOOLEN MILL, SHERI-2, KHODIYAR COLONY, JAMNAGAR-361006</t>
  </si>
  <si>
    <t>ahirvivekkarmur983@gmail.com</t>
  </si>
  <si>
    <t>S.S.C.
GUJARAT BOARD
2018</t>
  </si>
  <si>
    <t>JAMNAGAR</t>
  </si>
  <si>
    <t>9904335536.pdf</t>
  </si>
  <si>
    <t>VILLAGE-MAHESHO KI DHANI , TEH- POKARAN,DIST-JAISALMER ,345026 (Raj)</t>
  </si>
  <si>
    <t>1.4 month</t>
  </si>
  <si>
    <t>1) SSB ENTERPRISES,RAMPUR CHOK â€” Project Leader, Technician - Electrical (Jan. 2024 To till now)
   - Managed AC and DC cable laying, connected PV modules to string combiner boxes, and performed electrical continuity and megger tests.</t>
  </si>
  <si>
    <t>Bharat singh cv pdf (1).pdf</t>
  </si>
  <si>
    <t>PADSALA DENISH VINUBHAI</t>
  </si>
  <si>
    <t>13/04/2000</t>
  </si>
  <si>
    <t>AT- VANDALIYA PIN - 365421 TA - BABRA Dist - AMRELI</t>
  </si>
  <si>
    <t>+91 9687765151</t>
  </si>
  <si>
    <t>denipadsala7@gmail.com</t>
  </si>
  <si>
    <t>S.S.C.
GSHEB
2016</t>
  </si>
  <si>
    <t>1) VIDEOCON D2H â€” Field Sales (6 Month)
   - Engaged in field sales activities.</t>
  </si>
  <si>
    <t>AMRELI</t>
  </si>
  <si>
    <t>DENISH RESUME.pdf</t>
  </si>
  <si>
    <t>JASDEEP KAUR</t>
  </si>
  <si>
    <t>matharoojasdeep5@gmail.com</t>
  </si>
  <si>
    <t xml:space="preserve">B,COM
Delhi University
</t>
  </si>
  <si>
    <t>1) Bureau Veritas India Pvt. Ltd. â€” Assistant Manager - Sales &amp; Marketing (July 2023 - March 2025)
   - Responsible for selling BV products and services to new and existing customers, identifying business development opportunities, and positioning solutions to improve client performance, manage risk, and enable sustainable growth.
2) BPR Hub Pvt. Ltd. â€” Sr. Business Development (March 2025 â€“ June 2025)
   - Engaged with potential customers to promote products/services, handled inbound and outbound calls to convert leads and meet monthly targets, and maintained accurate records of customer interactions.
3) DEKRA India Pvt Ltd â€” Senior Executive (May 2022 â€“ June 2023)
   - Sold ISO training to new and existing customers, developed quotes, onboarded new tutors, created training calendars, managed client communication, issued training certificates, and closed new business deals by coordinating requirements and negotiating contracts.
4) BSI Group India Pvt. Ltd. â€” Training Administrative Executive (Dec 2018- May 2022)
   - Maintained relationships with salespersons and trainers, managed database of IRCA &amp; Non-IRCA Course Certificate releases and documentation, participated in internal audits, and coordinated with the global team regarding IRCA Guidelines.
5)  â€” Training Sales Advisor (Dec 2018 â€“ Jan 2019)
   - Managed corporate and individual participant training, prepared sales reports for review by management, oversaw key accounts within the designated region, and regularly assessed sales metrics and quality KPIs for strategic planning.</t>
  </si>
  <si>
    <t>JasdeepKaur_7.75lac.pdf</t>
  </si>
  <si>
    <t>Bidupur, Vishali, Bihar</t>
  </si>
  <si>
    <t>amankumar200899@gmail.com</t>
  </si>
  <si>
    <t>MBA in Business Administration
Dr. C.V. Raman University
2024</t>
  </si>
  <si>
    <t>3.5 Years</t>
  </si>
  <si>
    <t>1) NCC Limited â€” QS &amp; Billing Engineer (2022-NOW)
   - Managed quantity surveying, billing, budgeting, cost control, and material reconciliation; prepared daily progress and budget turnover reports, and led team coordination and client communication.
2) CIVIL GURUJI Pvt Ltd. â€” Site Engineer (Nov-21 to Apr-22)
   - Gained skills in site layout, estimation, drawing reading, BBS preparation, rate analysis, quantity surveying, and general surveying.
3) Gayatri Projects Ltd. â€” Intern Engineer ()
   - Utilized surveying techniques with Total Station and Auto Level, observed quality control tests, prepared project documentation (DPR), and improved understanding of site management and safety practices.</t>
  </si>
  <si>
    <t>Vishali</t>
  </si>
  <si>
    <t>Naukri_AMANKUMAR[3y_5m].pdf</t>
  </si>
  <si>
    <t>SK NASIRUDDIN</t>
  </si>
  <si>
    <t>31st Dec 1997</t>
  </si>
  <si>
    <t>Vill + Post â€“ Simulia, P. S. â€“ Tamluk, Dist-Purba Medinipur, West Bengal, Pin :- 741649</t>
  </si>
  <si>
    <t>nasiruddin3197@gmail.com</t>
  </si>
  <si>
    <t>B Tech in Civil Engineering
Haldia Institute of Technology
2023</t>
  </si>
  <si>
    <t>More than 5 year Experience</t>
  </si>
  <si>
    <t>1) Gannon Dunkerley &amp; Co., Ltd â€” Senior Engineer â€“PMG (Planning &amp; Billing) (February 2023 to Till date)
   - Managed planning and billing activities including quantity estimation, purchase requisitions, work order preparation, billing for contractors and clients, and project scheduling.
2) Tahir Construction Pvt. Ltd. â€” Junior Engineer (July 2020 to Dec 2022)
   - Oversaw site execution, managed labour allocation, performed estimation, prepared BBS, and managed subcontractor billing.</t>
  </si>
  <si>
    <t>Purba Medinipur</t>
  </si>
  <si>
    <t>Naukri_SkNasiruddin[5y_0m].pdf</t>
  </si>
  <si>
    <t>Praful N Matang</t>
  </si>
  <si>
    <t>14-03-1998</t>
  </si>
  <si>
    <t>Marride</t>
  </si>
  <si>
    <t>Vill- Nani Khakhar Mandvi Kutch Gujarat 370435</t>
  </si>
  <si>
    <t>+91 6359051032</t>
  </si>
  <si>
    <t>prafulmatang@gmail.com</t>
  </si>
  <si>
    <t>8th EXAM
Nani Khakhar
2011</t>
  </si>
  <si>
    <t xml:space="preserve">1) Masmarine Services India Pvt Ltd â€” Surveyor (5 Year Experience)
   - 
2) Adani Solar Ingot &amp; Wefer Plant (Mundra â€” Technician (1 Year Experience)
   - </t>
  </si>
  <si>
    <t>praful n matang.pdf</t>
  </si>
  <si>
    <t>1) DGVCL â€” meeter Dissconnetion (01-01-2025 to 30-04-2025)
   - Responsible for performing meeter disconnection activities.</t>
  </si>
  <si>
    <t>sagar.pdf</t>
  </si>
  <si>
    <t>Kavya K N</t>
  </si>
  <si>
    <t>14-12-1995</t>
  </si>
  <si>
    <t>Hagare (v) &amp; (p), Belur (T) Hassan -573126</t>
  </si>
  <si>
    <t>+91 9538375723</t>
  </si>
  <si>
    <t>kavyachidu20@gmail.com</t>
  </si>
  <si>
    <t xml:space="preserve">SSLC
Govt High School Hagare
</t>
  </si>
  <si>
    <t>5 Years</t>
  </si>
  <si>
    <t xml:space="preserve">1) Advaith Motors Pvt Ltd â€” SR. Sales Executive (5 Years)
   - </t>
  </si>
  <si>
    <t>Hassan</t>
  </si>
  <si>
    <t>Naukri_kavyaKN[6y_6m].pdf</t>
  </si>
  <si>
    <t>KIRAN PATRO</t>
  </si>
  <si>
    <t>kiranpatro74@gmail.com</t>
  </si>
  <si>
    <t>MBA (Financial Management)
Berhampur University
2024</t>
  </si>
  <si>
    <t>1) S&amp;P Global Market Intelligence â€” Data Analyst Apprentice (February 2025 â€“ Present)
   - Conducted financial analysis and validation of 600+ financial statements, ensuring accuracy and compliance. Maintained high accuracy while processing large volumes of financial data and sourced missing data points through document analysis.
2) National Aluminium Company Limited â€” Finance Intern (May 2023 â€“ June 2023)
   - Assisted in auditing and reviewing accounting records, vouchers, and balance sheets. Conducted internal financial verification and compliance testing as per company policy.</t>
  </si>
  <si>
    <t>Naukri_KiranPatro[1y_5m].pdf</t>
  </si>
  <si>
    <t>MADONA P</t>
  </si>
  <si>
    <t>63/10 Yamuna street, Curio Garden, Navavoor, Coimbatore-641046</t>
  </si>
  <si>
    <t>madonapaulraj123@gmail.com</t>
  </si>
  <si>
    <t>MASTER OF COMPUTER SCIENCE: POST GRADUATE
SRI RAMAKRISHNA COLLEGE OF ARTS AND SCIENCE, COIMBATORE
2023</t>
  </si>
  <si>
    <t>1) Zappyworks â€” SOFTWARE DEVELOPER (FEB 2023 TO AUG 2023)
   - Worked as a software developer intern.
2) CHOLAMANDALAM INVESTMENT AND FINANCE LIMITED â€” CREDIT OPERATION EXECUTIVE (Jun 2024 - Present)
   - Currently managing credit operations.</t>
  </si>
  <si>
    <t>Coimbatore</t>
  </si>
  <si>
    <t>Naukri_MadonaPaul[1y_5m].pdf</t>
  </si>
  <si>
    <t>MEGHA SENGUPTA</t>
  </si>
  <si>
    <t>+91 7209266032</t>
  </si>
  <si>
    <t>meghasengupta25@gmail.com</t>
  </si>
  <si>
    <t>MBA(Finance &amp; Marketing)
Arka Jain University
2024</t>
  </si>
  <si>
    <t>1) WIPRO â€” Analyst (JUNE 2024 â€“ Present)
   - Ensured disclosure accuracy and compliance with industry standards; proficient in GRI/IR reporting and Bloomberg terminal functions. Collected and validated financial data, processed vendor invoices, and assisted month-end closing.
2) IndiaMart (Freelancer) â€” Associate ()
   - Conducted voice-based calls to collect, verify, and update business profiles, enhancing client satisfaction. Gained insights into client relationship management.</t>
  </si>
  <si>
    <t>Naukri_MeghaSengupta[1y_8m].pdf</t>
  </si>
  <si>
    <t>MOHINI PALIWAL</t>
  </si>
  <si>
    <t>mohinipaliwal0202@gmail.com</t>
  </si>
  <si>
    <t>1) Accenture â€” Financial planning &amp; Analysis Associate (Dec 2024 â€“ Present)
   - Analyzed financial data, created models/reports for U.S. and Canadian companies, conducted financial statement analysis, and prepared investor presentations. Evaluated credit risk, performed market research, and supported M&amp;A advisory and internal credit decisions through detailed write-ups and documentation.</t>
  </si>
  <si>
    <t>Naukri_MohiniPaliwal[1y_0m].pdf</t>
  </si>
  <si>
    <t>MOKITH</t>
  </si>
  <si>
    <t>Anna Nagar, Thuraiyur road, Namakkal</t>
  </si>
  <si>
    <t>durairajmokith@gmail.com</t>
  </si>
  <si>
    <t>Bachelor of Business Administration (BBA)
VLB Janakiammal college of Arts and Science
2021</t>
  </si>
  <si>
    <t>1) OMEGA HEALTHCARE PVT. LTD. â€” Process Associate (US healtcare Non-Voice) (APRIL 2024- PRESENT)
   - Downloaded EOB's for multiple clients and updated daily excel spreadsheets. Posted patient, insurance, and credit card payments to accounts. Handled denial postings with appropriate codes and reconciled overall payments received during month-end processes.</t>
  </si>
  <si>
    <t>Namakkal</t>
  </si>
  <si>
    <t>Naukri_MOKITH[1y_6m].pdf</t>
  </si>
  <si>
    <t>Mukesh Kanna</t>
  </si>
  <si>
    <t>Chennai, India</t>
  </si>
  <si>
    <t>mukeshkanna2911@gmail.com</t>
  </si>
  <si>
    <t>Masters in Computer science
Scaler school of Technology - Banglore
2024</t>
  </si>
  <si>
    <t>1.5+ years</t>
  </si>
  <si>
    <t>1) Laserbeam Software â€” Junior Associate Quality Analyst (Jun-2022 - Oct-2023)
   - Conducted end-to-end testing for HRMS and Payroll systems, ensuring high-quality software delivery. Performed Manual and Automation Testing and designed test automation frameworks using Selenium WebDriver.</t>
  </si>
  <si>
    <t>Chennai</t>
  </si>
  <si>
    <t>Naukri_MukeshKanna[1y_5m].pdf</t>
  </si>
  <si>
    <t>Prateek Monga</t>
  </si>
  <si>
    <t>+91 9034427590</t>
  </si>
  <si>
    <t>mongaprateek@gmail.com</t>
  </si>
  <si>
    <t>Master of Operational Research
Hansraj College, University of Delhi
2023</t>
  </si>
  <si>
    <t>2y 3m</t>
  </si>
  <si>
    <t>1) Moodyâ€™s Analytics â€” Asst. Risk Consulting Associate (July 2023 â€“ Present)
   - Delivered quarterly financial forecasts and conducted CCAR stress testing for banking clients, improving forecast accuracy. Developed econometric equations and automated forecasting workflows using Python, Git, and Amazon S3. Computed Probability of Default (PD), Loss Given Default (LGD), and Prepayment Rates for a retail mortgage portfolio. Developed a logistic regression model for corporate term deposit early redemption probability, supporting asset-liability management and liquidity risk.</t>
  </si>
  <si>
    <t>Naukri_PrateekMonga[2y_3m].pdf</t>
  </si>
  <si>
    <t>PURUSHOTHAM T</t>
  </si>
  <si>
    <t>25-08-1998</t>
  </si>
  <si>
    <t>purushothamyadav59@gmail.com</t>
  </si>
  <si>
    <t>BCOM
Vignana Sudha degree college
2019</t>
  </si>
  <si>
    <t>1) KFIN TECHNOLOGIES LIMITED â€” ASSOCIATE (26.03.2025 to TILL DATE)
   - Handled AMC queries, mutual fund data entry, and KYC verification. Managed back-office operations, including scanning and processing applications. Coordinated banking activities and maintained records for various AMCs. Provided front-office support and addressed investor queries.
2) CHOLAMANDALAM INVESTMENT AND FINANCE COMPANY LIMITED â€” credit and ops executive â€“ vehicle finance Department (22/11/2023 TO 15/11/2024)
   - Analyzed customer Cibil status and verified KYC documents. Managed file processing from login to disbursement. Coordinated field investigations and handled TVR calls, providing timely responses to queries. Identified and mitigated deviations, ensured TAT for delivery sanction letters, and processed payments and PDD for vehicle financing.
3) HDFC â€” Operation executive (14/07/2022 TO 20/11/2023)
   - Verified application forms based on KYC documents. Handled disbursement activities for various loans including Vehicle, Personal, Business, and CD. Ensured desired TAT for processing loan files and managed escalations. Prepared MIS reports and coordinated between Business and Credit teams for smooth operations.</t>
  </si>
  <si>
    <t>Naukri_PurushothamYadav[3y_0m].pdf</t>
  </si>
  <si>
    <t>Ravi Odeyar</t>
  </si>
  <si>
    <t>Belgaum, Karnataka 591235</t>
  </si>
  <si>
    <t>rvnraviwadeyar@gmail.com</t>
  </si>
  <si>
    <t>MBA
AIMR SANKESHWAR
2023</t>
  </si>
  <si>
    <t>1+</t>
  </si>
  <si>
    <t>1) HDFC BANK â€” Operation Associate (Aug 2024 â€“ present)
   - Manages daily banking operations, including account management, transaction processing, fund transfers, and compliance monitoring. Ensures accuracy, coordinates with internal departments, and handles foreign inward/outward remittances, RTGS, NEFT, and cash management services.</t>
  </si>
  <si>
    <t>Belgaum</t>
  </si>
  <si>
    <t>Naukri_RaviOdeyar[1y_0m].pdf</t>
  </si>
  <si>
    <t>SAMYAK MANOHAR PAGARE</t>
  </si>
  <si>
    <t>Pune, Maharashtra</t>
  </si>
  <si>
    <t>+91 7558544696</t>
  </si>
  <si>
    <t>samyakpagare10@gmail.com</t>
  </si>
  <si>
    <t xml:space="preserve">MBA â€“ Finance
Dr. D.Y. Patil Institute of Management &amp; Entrepreneur Development
</t>
  </si>
  <si>
    <t>1) Crisil | S&amp;P Global â€” Retainer (Aug 2024 â€“ Aug 2025)
   - Analyzed and rated structured finance transactions, built and validated complex CLO/CDO cash flow models, interpreted legal documentation, and collaborated on credit risk assessments and process improvements.
2) Jetwan Urban Nidhi Ltd. â€” Finance Intern (Jan 2024 â€“ June 2024)
   - Managed month-end closes for 100+ client accounts, prepared financial statements, automated reporting with Excel, and developed interactive dashboards for leadership.</t>
  </si>
  <si>
    <t>Naukri_SAMYAKMANOHARPAGARE[1y_0m].pdf</t>
  </si>
  <si>
    <t>SANDHIYA DURAISAMY</t>
  </si>
  <si>
    <t>sandhiyadurai10@gmail.com</t>
  </si>
  <si>
    <t>SSLC
SRMMHSSchool,Tiruvannamalai
2015</t>
  </si>
  <si>
    <t>1) DLF(PARC ESTATE) â€” CRM, Sales and Marketing (February 2022- April 2022)
   - Managed and led the CRM team to execute strategies for customer engagement and retention. Analyzed marketing data to identify trends and develop insights. Collaborated with marketing and sales teams to improve content marketing.
2) Gia Mantra Hospitality Pvt Ltd. â€” CRE (Sep 2024 - Present)
   - Engaged with customers, handled cash, credit, and debit transactions, and managed returns. Cultivated customer loyalty to promote repeat business and improve sales.</t>
  </si>
  <si>
    <t>Naukri_SandhiyaDuraisamy[1y_3m].pdf</t>
  </si>
  <si>
    <t>SANGEETA MAJI</t>
  </si>
  <si>
    <t>06th December 1997</t>
  </si>
  <si>
    <t>Bunglow 17, Road 4, Riverside Township, Burnpur, Asansol, West Bengal, Pincode- 713325</t>
  </si>
  <si>
    <t>sangeetamaji06@gmail.com</t>
  </si>
  <si>
    <t>MBA in Finance
The University of Burdwan
2021</t>
  </si>
  <si>
    <t>1) ICRA Limited â€” Process Associate (Aug 2023 - April 2024)
   - Analyzed live credit rating cases, synthesized complex financial data, compiled comprehensive reports, evaluated financial instruments, and maintained industry knowledge.
2) ICICI Prudential Life Insurance Pvt. Ltd â€” Financial Services Consultant (Jun 2022 - Aug 2023)
   - Facilitated client interactions in a Bank Assurance channel, monitored payments and fraudulent activities, managed diverse client portfolios, and cross-sold financial products.
3) Tata Consultancy Services â€” Process Associate (Jul 2019 â€“ Dec 2019)
   - Interacted proactively with customers, addressed concerns, assisted UK clients, accommodated flexible work schedules, and participated in continuous improvement initiatives.</t>
  </si>
  <si>
    <t>Asansol</t>
  </si>
  <si>
    <t>Naukri_SangeetaMaji[2y_5m].pdf</t>
  </si>
  <si>
    <t>SATHISH SIVARATHRI</t>
  </si>
  <si>
    <t>+91 6300259412</t>
  </si>
  <si>
    <t>sivarathrisathish100@gmail.com</t>
  </si>
  <si>
    <t>MBA
Raoâ€™s Institute Of Managment Studies
2023</t>
  </si>
  <si>
    <t>1+ year</t>
  </si>
  <si>
    <t>1) Accenture Servies Private Limited â€” Junior Accountant (2024 - Present)
   - Managed accounts payables for a Big4 entity, created process backups, played a key role in BOT automation, and prepared various daily/weekly financial reports.</t>
  </si>
  <si>
    <t>Naukri_SathishSivarathri[1y_5m].pdf</t>
  </si>
  <si>
    <t>B. Nivedha</t>
  </si>
  <si>
    <t>nivedha02101997@gmail.com</t>
  </si>
  <si>
    <t>MBA (Finance)
VVISM Institute of Systems and Management, Hyderabad
2022</t>
  </si>
  <si>
    <t>1) HDFC Bank â€” Customer Experience Executive (Sep 2023 â€“ Jun 2025)
   - Handled customer queries, documented requirements, processed financial transactions (RTGS/NEFT), and ensured compliance. Collaborated with cross-functional teams to improve customer experience workflows.
2) Goldman Sachs Bank (via Experis IT) â€” CIP, Consumer Wealth Department and Payments and Reconciliation Deparment. (Sep 2022 â€“ Apr 2023)
   - Investigated fraud cases, chargebacks, and payment discrepancies for timely resolution and compliance. Performed reconciliations, maintained financial reporting accuracy, and utilized financial tools to analyze transactions.
3) Finance Box Pvt Ltd â€” Finance Analyst Intern (Jan 2022 â€“ Apr 2022)
   - Conducted data analysis for financial compliance projects and assisted in process documentation for Virtual CFO services.
4) Haas Alert â€” Finance Intern (Jan 2022 â€“ Feb 2022)
   - Learned Tally and QuickBooks to enhance data entry and reporting accuracy.</t>
  </si>
  <si>
    <t>Naukri_NivedhaBhaskar[2y_5m].pdf</t>
  </si>
  <si>
    <t>Priyanka.B</t>
  </si>
  <si>
    <t>25/10/1998</t>
  </si>
  <si>
    <t>unmarried</t>
  </si>
  <si>
    <t>PRIYANKABOOMINATHAN2510@GMAIL.COM</t>
  </si>
  <si>
    <t>MBA (Disaster management)
Alagappa university
2022</t>
  </si>
  <si>
    <t>3 Years</t>
  </si>
  <si>
    <t>1) Capgemini â€” Process Associate (Nov 2022 - Present)
   - Managed account receivables, including dispute resolution, cash application, and collection processes. Handled billing, invoice generation, and maintained daily/monthly financial reporting. Investigated and closed disputed invoices with proper justification.</t>
  </si>
  <si>
    <t>Naukri_PriyankaBoominathan[3y_0m].pdf</t>
  </si>
  <si>
    <t>SHASHIKANT WAGH</t>
  </si>
  <si>
    <t>Belagavi, Karnataka</t>
  </si>
  <si>
    <t>+91 8073689578</t>
  </si>
  <si>
    <t>shashikantwagh928@gmail.com</t>
  </si>
  <si>
    <t>MBA in Finance
KLS Institute of Management Education and Research
2024</t>
  </si>
  <si>
    <t>1) Welcomhotel By ITC Hotels â€” Credit Associate (1 Year)
   - Analyzed and reconciled financial data, prepared Debtors Ageing Reports, tracked payment delays, processed corporate invoicing, and maintained daily revenue and petty cash reports.</t>
  </si>
  <si>
    <t>Belagavi</t>
  </si>
  <si>
    <t>Naukri_ShashikantWagh[1y_0m].pdf</t>
  </si>
  <si>
    <t>SHUBHAM PRABHU RAJANAL</t>
  </si>
  <si>
    <t>Bangalore, Karnataka</t>
  </si>
  <si>
    <t>Rajanalshubham@gmail.com</t>
  </si>
  <si>
    <t>Master of Business Administration
New Horizon College of Engineering
2023</t>
  </si>
  <si>
    <t>1) Raecal Engineering and Controls â€” Accounting Executive (09/2024 - Present)
   - Managed invoice uploads, digital signatures, and accounting for company expenses. Prepared necessary documents for GST filing and returns.
2) WeRize Finance â€” Trainee â€“ Senior Credit Process Associate (12/2023 - 02/2024)
   - Analyzed customer loan repayment capacity and risk using CIBIL/CRIF tracks. Determined customer eligibility based on DTI Ratio.</t>
  </si>
  <si>
    <t>Naukri_ShubhamRajanal[1y_0m].pdf</t>
  </si>
  <si>
    <t>Venkatakrishnan V</t>
  </si>
  <si>
    <t>venkatvasu3099@gmail.com</t>
  </si>
  <si>
    <t>Master Of Computer Application
Guru Nanak College
2022</t>
  </si>
  <si>
    <t>1) Kotak Mahindra Prime â€” Credit Coordinator (2022 â€“ present)
   - Utilized CIBIL software for creditworthiness analysis and supported lending decisions. Performed credit analysis of bank statements to evaluate loan eligibility and reduce default risk. Analyzed customer profiles and transaction patterns to ensure regulatory compliance and mitigate risks. Detected and reported suspicious transactions, preventing potential fraud and financial losses.</t>
  </si>
  <si>
    <t>remote capacity</t>
  </si>
  <si>
    <t>Naukri_VENKATAKRISHNANV[2y_6m].pdf</t>
  </si>
  <si>
    <t>AKASH KUMAR SAMANTA</t>
  </si>
  <si>
    <t>17/04/2004</t>
  </si>
  <si>
    <t>Vill-Chandanpur, P.O- Radhachandanpur, P.S- Debra PIN-721160, DIST- PASCHIM MEDINIPUR, STATE- WEST BENGAL</t>
  </si>
  <si>
    <t>akashsamanta30666@gmail.com</t>
  </si>
  <si>
    <t xml:space="preserve">Diploma in Information technology &amp; Aplication (DITA)
</t>
  </si>
  <si>
    <t>PASCHIM MEDINIPUR</t>
  </si>
  <si>
    <t>WEST BENGAL</t>
  </si>
  <si>
    <t>Akash Samanta.pdf</t>
  </si>
  <si>
    <t>Aniket Rana</t>
  </si>
  <si>
    <t>21st March 1996</t>
  </si>
  <si>
    <t>170, Main Bazar, Ranasan District â€“ Sabarkantha, Gujarat â€“ 383305</t>
  </si>
  <si>
    <t>+91 7874118399</t>
  </si>
  <si>
    <t>ranaaniket07@gmail.com</t>
  </si>
  <si>
    <t>MBA â€“ Human Resources
Saurashtra University
2018</t>
  </si>
  <si>
    <t>1) Bhurawala Group â€” HR Manager (January 2022 â€“ June 2025 (3.5 years))
   - Managed full-cycle HR operations including recruitment, payroll, employee relations, and performance management. Developed HR policies, drove engagement, and ensured legal compliance, significantly improving productivity and reducing attrition.</t>
  </si>
  <si>
    <t>Sabarkantha</t>
  </si>
  <si>
    <t>Aniket Rana_HR Manager_Resume.pdf</t>
  </si>
  <si>
    <t>Bipin Sodham</t>
  </si>
  <si>
    <t>Nana Kapaya, Mundra, Kachchh Gujarat</t>
  </si>
  <si>
    <t>sodhambipin172@gmail.com</t>
  </si>
  <si>
    <t>MBA-HR
K. S. K. V Kachchh University
2023</t>
  </si>
  <si>
    <t>1) ITD Cementation India Ltd â€” Admin Assistant (Jan 2025 to till date)
   - 
2) Asean Box Corporation â€” HR Assistant (June 2024 to Dec 2024)
   - Managed administrative processes for new hires, including document verification and joining formalities. Maintained attendance records, coordinated training, and assisted with payroll and employee engagement activities.
3) Adani Ports &amp; SEZ â€” HR Apprentice (May 2023 To May 2024)
   - Handled candidate sourcing, interview scheduling, and vacancy posting. Managed administrative processes for new hires, including joining formalities and document verification.
4) Welspun Corp Ltd â€” Internship (May 2022 to June2022)
   - Assisted in the arrangement of employee engagement activities and managed accommodation for new joining staff.</t>
  </si>
  <si>
    <t>Bipin sodham.pdf</t>
  </si>
  <si>
    <t>Deep Ramdas Bhatt</t>
  </si>
  <si>
    <t>17/10/1994</t>
  </si>
  <si>
    <t>90, Kutchmitra Colony Near Hirani Nagar, Madhapar Bhuj-Kutch-37002</t>
  </si>
  <si>
    <t>deepbhatt594@gmail.com</t>
  </si>
  <si>
    <t>M.B.A.
Shri KSKV Kachchh University
2017</t>
  </si>
  <si>
    <t>1) Buildwell Co. Ltd â€”  (01st February 2018 to 28st February 2019)
   - 
2) Ashapura Tractors â€”  (01st March 2019 to 28th February 2020)
   - 
3) Mother Dairy â€”  (01st September 2021 to 12th September 2024)
   - 
4) Super Handler Pvt Ltd â€”  (16th September 2024 to Present)
   - Managed time office payroll, attendance, and shift schedules in Kronos system. Handled safety kit records, gate pass requests, bill verification, and employee satisfaction. Coordinated with HO team, performed follow-ups, and managed various administrative activities including government liaison, compliance, worker discipline, and event arrangements.</t>
  </si>
  <si>
    <t>Deep CV new (2).pdf</t>
  </si>
  <si>
    <t>DILIP MAKVANA</t>
  </si>
  <si>
    <t>At-Makvanavas,Morvad, Ta-Vijapur, Di-Mehsana, Pin- 382870</t>
  </si>
  <si>
    <t>dilipmakvana2705@gmail.com</t>
  </si>
  <si>
    <t>Master of Bussiness Administation (HR)
Sankalcand Patel College of Engeering Sankalchand Patel University,Visnagar
2025</t>
  </si>
  <si>
    <t>1) Carrier Bridge Skill Solutions â€” Intern (20th may,2024 to 19th june,2024)
   - Managed employee records and databases; assisted with new hire onboarding, documentation, and orientation sessions.</t>
  </si>
  <si>
    <t>Dilip Makvana Resume.pdf</t>
  </si>
  <si>
    <t>HARSHDEEP ISWARBHAI VAGHELA</t>
  </si>
  <si>
    <t>vaghelaharshdip11@gmail.com</t>
  </si>
  <si>
    <t>SSC (10th Class)
2016</t>
  </si>
  <si>
    <t>Bhavnagar, Rajkot, Vadodara, Botad</t>
  </si>
  <si>
    <t>Harshdip Vaghela.pdf</t>
  </si>
  <si>
    <t>JAY CHAVDA</t>
  </si>
  <si>
    <t>Navrangpura,Ahmedabad-380009</t>
  </si>
  <si>
    <t>jaygc60@gmail.com</t>
  </si>
  <si>
    <t>Bachelor of Business Administration
Gujarat University-KSSBM
2025</t>
  </si>
  <si>
    <t>1) T.I.M.E. (Triumphant Institute of Management Education) â€” Campus Ambassador (July 2024 - Nov 2024)
   - Enhanced brand visibility and audience engagement through strategic marketing and event coordination, gaining practical digital marketing experience.
2) Freelance â€” Graphic Designer And Video Editor (May 2023 - Aug 2024)
   - Provided high-quality video editing and graphic design services, successfully monetizing projects and expanding client base.
3) citynect - Flat and Flatmates â€” Sales &amp; Marketing Specialist (Aug 2023 - Sep 2023)
   - Completed a two-month internship focused on lead generation and marketing analysis, gaining strategic insights and practical experience.</t>
  </si>
  <si>
    <t>Jay_Chavda_CV .pdf</t>
  </si>
  <si>
    <t>JOGENDRA SINGH</t>
  </si>
  <si>
    <t>Village â€“ awaay, Pokaran ,Dist. Jaisalmer , (Rajasthan)</t>
  </si>
  <si>
    <t>jogendrasinghsodha123@gmail.com</t>
  </si>
  <si>
    <t>Secondary
Rajasthan Board, Ajmer
2021</t>
  </si>
  <si>
    <t>1) Hinduja Renewable Energy Pvt. Ltd. Rawra Bap 55MW Solar Plant O&amp;M: Shrinath O&amp;M Pvt. Ltd. â€” Technician (From 01 Nov. 2024 To 01 April.2025)
   - Performed string monitoring, rectification, and O&amp;M of solar plant components including inverters, SCBs, and energy meters. Conducted cable laying, termination, IR testing, module installation, and ensured workplace safety.
2) Kalar Renewable Energy Pvt. Ltd Bhadla Bap (Phalodi ) 65 MW Solar plant â€” Technician (From 09 Nov.2023 To 30 Oct.2024)
   - Performed string monitoring, rectification, and O&amp;M of solar plant components including inverters, SCBs, and energy meters. Conducted cable laying, termination, IR testing, module installation, and ensured workplace safety.</t>
  </si>
  <si>
    <t>jogendra singh resume...-1 (1) (1).pdf</t>
  </si>
  <si>
    <t>KAPIL SHARMA</t>
  </si>
  <si>
    <t>Village: Bithnok, Kolayat, Dist.: Bikaner, Rajasthan-334302</t>
  </si>
  <si>
    <t>kjajra72@gmail.com</t>
  </si>
  <si>
    <t>Diploma (Electrical Engineer Trade)
2024</t>
  </si>
  <si>
    <t>1) Mitarsh Energy Private Ltd. â€” technician ()
   - Rectified DC faults (SCB, String, Ground), performed operation and maintenance of 3.125 MVA inverters, supervised ICR &amp; MCS, and conducted inverter thorough cleaning and thermography.</t>
  </si>
  <si>
    <t>Bikaner</t>
  </si>
  <si>
    <t>Kolayat</t>
  </si>
  <si>
    <t>kapil sharma 28k.pdf</t>
  </si>
  <si>
    <t>Krishna C. Sheladiya</t>
  </si>
  <si>
    <t>Krishna.sheladiya011@gmail.com</t>
  </si>
  <si>
    <t>MBA (HR)
K.S. School of Business Management
2025</t>
  </si>
  <si>
    <t>1) Ikamate HR India Pvt. Ltd. â€” HR Recruiter (2 Months (01/05/2024 â€“ 30/06/2024))
   - Assisted in the recruitment process by sourcing, screening, and interviewing candidates for various roles.</t>
  </si>
  <si>
    <t>Krishna C. Sheladiya.pdf</t>
  </si>
  <si>
    <t>PRIYA BAHADURBHAI KHUMAN</t>
  </si>
  <si>
    <t>Vadodara, INDIA</t>
  </si>
  <si>
    <t>(+91) 9426205166</t>
  </si>
  <si>
    <t>priya.khuman@gmail.com</t>
  </si>
  <si>
    <t>MBA/PGDM - HR/Industrial Relations
Gujarat Technological University, Ahmedabad
2014</t>
  </si>
  <si>
    <t>6 Years 0 Month</t>
  </si>
  <si>
    <t>1) Shreenathji Skoda â€” HR and Sales training manager (Jun 2022 - Dec 2024)
   - 
2) B.Mangatram Hyundai â€” Training Manager (Aug 2018 - Sep 2019)
   - Daily imparted sales training to sales consultants.
3) Shivalik Hyundai â€” Training Manager (Oct 2017 - Jun 2018)
   - Daily imparted training to sales consultants.
4) Shivalik IB Automark Pvt Ltd â€” Training Manager (Apr 2014 - Oct 2017)
   - Provided automobile training to all sales teams, conducted value-added and motivational training, and enhanced productivity for sales personnel.</t>
  </si>
  <si>
    <t>NAUKRI_PRIYA_BAHADURBHAI_KHUMAN.pdf</t>
  </si>
  <si>
    <t>Ajay Kumar Yadav</t>
  </si>
  <si>
    <t>Vill-Majuribujrg Post puraini(oatan) Dist Deoria GKP,UP 274701</t>
  </si>
  <si>
    <t>Impress pme clarkes hotel shimla</t>
  </si>
  <si>
    <t>+91 8858286035, 7005302852</t>
  </si>
  <si>
    <t>ojvadov885845@gmail.com</t>
  </si>
  <si>
    <t>SSC
Board of Secondary Education, UP
2007</t>
  </si>
  <si>
    <t>1) Larsen &amp; Toubro â€” Safety Asst (14-01-2017 to 10-08-2017)
   - Conducted safety induction, daily TBT, electrical tool checks, site audits, monitored PIW, coordinated with client HSE, prepared HIRA &amp; JSA, developed checklists, organized training, identified unsafe acts, and investigated incidents.
2) Ravi Engineering â€” Site Safety Supervisor (17-08-2017 to 25-01-2018)
   - Supervised safety for civil and mechanical works at Reliance Industries Limited, Jamnagar.
3) Mahabaleshwar Engg â€” Safety Supervisor (27-02-2018 to 31-03-2019)
   - Supervised safety for fabrication and erection work at Reliance Industries Limited, Jamnagar.
4) Sonu Infratech Ltd. â€” Safety Sup. / Officer (29-05-2019 to 03-01-2023)
   - Managed safety as a supervisor/officer for civil main jobs at RIL Jamnagar &amp; Nayara Oil &amp; Gas Plant.
5) ASK EHS Engineering &amp; Consultants Pvt Ltd â€” Safety Supervisor (09-02-2023 to 17-08-2023)
   - Supervised safety for M/S.Larsen &amp; Toubro Ltd, Hazira project site.
6) AKSHAR FIRE &amp; SAFETY â€” SAFETY SUPERVISOR (17-08-2023 to 15-11-2023)
   - Supervised safety in shutdown projects at Reliance Industries Limited, Jamnagar.
7) GB Brand Safeway Private Limited â€” SAFETY SUPERVISOR (16/01/2024 to 25/01/2025)
   - Supervised safety during operation projects at HINDALCO INDUSTRIES LTD, Renukoot.
8) IMPRESS Project Management &amp; Consultancy â€” Safety Officer (20-02-2025 TO till now)
   - Oversees safety at the Hotel Project Oberoi Clarke's, Shimla, as a Safety Officer.</t>
  </si>
  <si>
    <t>Deoria</t>
  </si>
  <si>
    <t>safety officer ajay yadav resume (2) (1)_11zon.pdf</t>
  </si>
  <si>
    <t>SAGAR KUMAR</t>
  </si>
  <si>
    <t>13th May 2002</t>
  </si>
  <si>
    <t>Plot No. 105, Alaknanda Society, Mundra, Kachchh-370421, Gujarat, India</t>
  </si>
  <si>
    <t>+91 7383365338</t>
  </si>
  <si>
    <t>sagar.rashiniya@gmail.com</t>
  </si>
  <si>
    <t xml:space="preserve">Bachelor of Business Administration (BBA)
Punjab University, Chandigarh Post Graduate Government College, Sector-46
</t>
  </si>
  <si>
    <t>1) Rishi Kiran Group â€” Admin Officer ()
   - Managed office administration, including vehicle fleet, staff attendance, inventory, and procurement documentation.
2) Adani Port SEZ â€” Trainee (21st June 2023 â€“ 4th August 2023)
   - Prepared and analyzed cash flow statements, conducted financial analysis, budgeting, and assisted in financial reporting.</t>
  </si>
  <si>
    <t>Sagar Rashiniya.pdf</t>
  </si>
  <si>
    <t>Vikram Sen</t>
  </si>
  <si>
    <t>14.06.1991</t>
  </si>
  <si>
    <t>S/oPukhrajSenAtPostKoselao,viaSanderao,Teh.Sumerpur(PALI)Rajasthan</t>
  </si>
  <si>
    <t>+917737731117, 9672566641</t>
  </si>
  <si>
    <t>senvikram26@gmail.com</t>
  </si>
  <si>
    <t>B.Tech.(EE)
CLGInstituteOfEngg.&amp;tech.(Sumerpur)
2014</t>
  </si>
  <si>
    <t>Pali</t>
  </si>
  <si>
    <t>sen vikram.pdf</t>
  </si>
  <si>
    <t>Sindhav Mehul</t>
  </si>
  <si>
    <t>24/10/2000</t>
  </si>
  <si>
    <t>Dholi, Dharangdhara Surendranagar Gujarat 363320</t>
  </si>
  <si>
    <t>sindhavmehul10@gmail.com</t>
  </si>
  <si>
    <t>Graduate
Saurashtra University
2023</t>
  </si>
  <si>
    <t>1) HR Talent Solutions â€” Associate Trainee (20-Dec-22 To 12-Jul-23)
   - 
2) Meraqui Ventuers Pvt Ltd â€” HR Executive (14 Jul 24 to Till)
   - Managed full recruitment lifecycle including sourcing, screening, negotiation, client coordination, bulk hiring, and maintaining recruitment reports and MIS.</t>
  </si>
  <si>
    <t>Surendranagar</t>
  </si>
  <si>
    <t>Sindhav Mehul Resume.pdf</t>
  </si>
  <si>
    <t>SOUVIK CHANDA</t>
  </si>
  <si>
    <t>31/07/2004</t>
  </si>
  <si>
    <t>Vill- Bhagabanbasan, P.O- Dhamtore, P.S- Debra PIN- 721126, DIST- PASCHIM MEDINIPUR, STATE- WEST BENGAL</t>
  </si>
  <si>
    <t>Souvikchanda2004@gmail.com</t>
  </si>
  <si>
    <t>SECONDARY (X)
DHAMTORE B.B VIDYABHABAN
2020</t>
  </si>
  <si>
    <t>SOUVIK CHANDA CV_removed (1).pdf</t>
  </si>
  <si>
    <t>JEEL DUDANI</t>
  </si>
  <si>
    <t>Ahmedabad Gujarat</t>
  </si>
  <si>
    <t>Jeeldudani9925@gmail.com</t>
  </si>
  <si>
    <t xml:space="preserve">BE Civil Engineer
VishwaKarma Government Engineering college Chandkheda, Ahmedabad
</t>
  </si>
  <si>
    <t>1) Buniyadbyte, I-Hub Gujarat â€” Video Editor (January 2025 â€“ Present)
   - Created 30+ high-impact short videos for Instagram campaigns, optimizing for vertical formats and algorithms to increase engagement by 60%. Produced and edited a professional brand introduction video, combining interview footage, B-roll, and motion graphics.</t>
  </si>
  <si>
    <t>JEEL_DUDANI_videoEditor.pdf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</si>
</sst>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wrapText="1"/>
    </xf>
    <xf numFmtId="0" fontId="16" fillId="0" borderId="0" xfId="0" applyFont="1"/>
    <xf numFmtId="0" fontId="16" fillId="0" borderId="0" xfId="0" applyFont="1" applyAlignment="1">
      <alignment horizontal="center"/>
    </xf>
    <xf numFmtId="0" fontId="0" fillId="0" borderId="0" xfId="0" applyAlignment="1">
      <alignment horizontal="center"/>
    </xf>
    <xf numFmtId="14" fontId="0" fillId="0" borderId="0" xfId="0" applyNumberFormat="1" applyAlignment="1">
      <alignment horizontal="center"/>
    </xf>
    <xf numFmtId="15" fontId="0" fillId="0" borderId="0" xfId="0" applyNumberFormat="1" applyAlignment="1">
      <alignment horizontal="center"/>
    </xf>
    <xf numFmtId="1" fontId="0" fillId="0" borderId="0" xfId="0" applyNumberForma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B068F-B35A-4F9D-BCA3-CE138945E378}">
  <dimension ref="A1:Q238"/>
  <sheetViews>
    <sheetView tabSelected="1" topLeftCell="M29" workbookViewId="0">
      <selection activeCell="D31" sqref="D31"/>
    </sheetView>
  </sheetViews>
  <sheetFormatPr defaultRowHeight="14.5" x14ac:dyDescent="0.35"/>
  <cols>
    <col min="1" max="1" width="15.81640625" customWidth="1"/>
    <col min="2" max="2" width="15.36328125" style="4" customWidth="1"/>
    <col min="3" max="3" width="15.90625" style="4" customWidth="1"/>
    <col min="4" max="4" width="39.26953125" customWidth="1"/>
    <col min="5" max="5" width="24.1796875" customWidth="1"/>
    <col min="6" max="6" width="20.1796875" style="4" customWidth="1"/>
    <col min="7" max="7" width="28.6328125" style="4" customWidth="1"/>
    <col min="8" max="8" width="29.54296875" customWidth="1"/>
    <col min="9" max="9" width="21.26953125" customWidth="1"/>
    <col min="10" max="10" width="91.1796875" customWidth="1"/>
    <col min="12" max="12" width="18.08984375" customWidth="1"/>
    <col min="13" max="13" width="19.6328125" customWidth="1"/>
    <col min="14" max="14" width="14.7265625" customWidth="1"/>
    <col min="15" max="15" width="20.08984375" customWidth="1"/>
    <col min="16" max="16" width="15.7265625" customWidth="1"/>
    <col min="17" max="17" width="19.6328125" customWidth="1"/>
  </cols>
  <sheetData>
    <row r="1" spans="1:17" x14ac:dyDescent="0.35">
      <c r="A1" s="2" t="s">
        <v>0</v>
      </c>
      <c r="B1" s="3" t="s">
        <v>1</v>
      </c>
      <c r="C1" s="3" t="s">
        <v>2</v>
      </c>
      <c r="D1" s="2" t="s">
        <v>3</v>
      </c>
      <c r="E1" s="2" t="s">
        <v>4</v>
      </c>
      <c r="F1" s="3" t="s">
        <v>5</v>
      </c>
      <c r="G1" s="3" t="s">
        <v>6</v>
      </c>
      <c r="H1" s="2" t="s">
        <v>7</v>
      </c>
      <c r="I1" s="2" t="s">
        <v>8</v>
      </c>
      <c r="J1" s="2" t="s">
        <v>9</v>
      </c>
      <c r="K1" s="2" t="s">
        <v>10</v>
      </c>
      <c r="L1" s="2" t="s">
        <v>11</v>
      </c>
      <c r="M1" s="2" t="s">
        <v>12</v>
      </c>
      <c r="N1" s="2" t="s">
        <v>13</v>
      </c>
      <c r="O1" s="2" t="s">
        <v>14</v>
      </c>
      <c r="P1" s="2" t="s">
        <v>15</v>
      </c>
      <c r="Q1" s="2" t="s">
        <v>16</v>
      </c>
    </row>
    <row r="2" spans="1:17" ht="130.5" x14ac:dyDescent="0.35">
      <c r="A2" t="s">
        <v>17</v>
      </c>
      <c r="B2" s="4" t="s">
        <v>18</v>
      </c>
      <c r="D2" t="s">
        <v>19</v>
      </c>
      <c r="F2" s="7">
        <v>8401515744</v>
      </c>
      <c r="G2" s="4" t="s">
        <v>20</v>
      </c>
      <c r="H2" s="1" t="s">
        <v>21</v>
      </c>
      <c r="I2" t="s">
        <v>22</v>
      </c>
      <c r="J2" s="1" t="s">
        <v>23</v>
      </c>
      <c r="K2" t="s">
        <v>24</v>
      </c>
      <c r="L2" t="s">
        <v>25</v>
      </c>
      <c r="M2" t="s">
        <v>26</v>
      </c>
      <c r="Q2" t="s">
        <v>27</v>
      </c>
    </row>
    <row r="3" spans="1:17" ht="145" x14ac:dyDescent="0.35">
      <c r="A3" t="s">
        <v>28</v>
      </c>
      <c r="F3" s="7" t="s">
        <v>29</v>
      </c>
      <c r="G3" s="4" t="s">
        <v>30</v>
      </c>
      <c r="H3" s="1" t="s">
        <v>31</v>
      </c>
      <c r="I3" t="s">
        <v>32</v>
      </c>
      <c r="J3" s="1" t="s">
        <v>33</v>
      </c>
      <c r="K3" t="s">
        <v>34</v>
      </c>
      <c r="L3" t="s">
        <v>25</v>
      </c>
      <c r="Q3" t="s">
        <v>35</v>
      </c>
    </row>
    <row r="4" spans="1:17" ht="116" x14ac:dyDescent="0.35">
      <c r="A4" t="s">
        <v>36</v>
      </c>
      <c r="F4" s="7">
        <v>9316509768</v>
      </c>
      <c r="G4" s="4" t="s">
        <v>37</v>
      </c>
      <c r="H4" s="1" t="s">
        <v>38</v>
      </c>
      <c r="I4" t="s">
        <v>39</v>
      </c>
      <c r="J4" s="1" t="s">
        <v>40</v>
      </c>
      <c r="K4" t="s">
        <v>41</v>
      </c>
      <c r="L4" t="s">
        <v>25</v>
      </c>
      <c r="Q4" t="s">
        <v>42</v>
      </c>
    </row>
    <row r="5" spans="1:17" ht="72.5" x14ac:dyDescent="0.35">
      <c r="A5" t="s">
        <v>43</v>
      </c>
      <c r="B5" s="4" t="s">
        <v>44</v>
      </c>
      <c r="C5" s="4" t="s">
        <v>45</v>
      </c>
      <c r="D5" t="s">
        <v>46</v>
      </c>
      <c r="F5" s="7">
        <v>9773280745</v>
      </c>
      <c r="G5" s="4" t="s">
        <v>47</v>
      </c>
      <c r="H5" s="1" t="s">
        <v>48</v>
      </c>
      <c r="I5" t="s">
        <v>49</v>
      </c>
      <c r="J5" s="1" t="s">
        <v>50</v>
      </c>
      <c r="K5" t="s">
        <v>51</v>
      </c>
      <c r="L5" t="s">
        <v>25</v>
      </c>
      <c r="Q5" t="s">
        <v>52</v>
      </c>
    </row>
    <row r="6" spans="1:17" ht="87" x14ac:dyDescent="0.35">
      <c r="A6" t="s">
        <v>53</v>
      </c>
      <c r="B6" s="5">
        <v>37747</v>
      </c>
      <c r="C6" s="4" t="s">
        <v>54</v>
      </c>
      <c r="D6" t="s">
        <v>55</v>
      </c>
      <c r="F6" s="7">
        <v>8905642662</v>
      </c>
      <c r="G6" s="4" t="s">
        <v>56</v>
      </c>
      <c r="I6" t="s">
        <v>57</v>
      </c>
      <c r="J6" s="1" t="s">
        <v>58</v>
      </c>
      <c r="K6" t="s">
        <v>59</v>
      </c>
      <c r="L6" t="s">
        <v>60</v>
      </c>
      <c r="M6" t="s">
        <v>61</v>
      </c>
      <c r="Q6" t="s">
        <v>62</v>
      </c>
    </row>
    <row r="7" spans="1:17" ht="58" x14ac:dyDescent="0.35">
      <c r="A7" t="s">
        <v>63</v>
      </c>
      <c r="B7" s="4" t="s">
        <v>64</v>
      </c>
      <c r="C7" s="4" t="s">
        <v>65</v>
      </c>
      <c r="D7" t="s">
        <v>66</v>
      </c>
      <c r="F7" s="7">
        <v>7067466905</v>
      </c>
      <c r="G7" s="4" t="s">
        <v>67</v>
      </c>
      <c r="H7" s="1" t="s">
        <v>68</v>
      </c>
      <c r="I7">
        <v>1</v>
      </c>
      <c r="J7" s="1" t="s">
        <v>69</v>
      </c>
      <c r="K7" t="s">
        <v>70</v>
      </c>
      <c r="L7" t="s">
        <v>71</v>
      </c>
      <c r="M7" t="s">
        <v>26</v>
      </c>
      <c r="Q7" t="s">
        <v>72</v>
      </c>
    </row>
    <row r="8" spans="1:17" ht="116" x14ac:dyDescent="0.35">
      <c r="A8" t="s">
        <v>73</v>
      </c>
      <c r="B8" s="5">
        <v>36715</v>
      </c>
      <c r="C8" s="4" t="s">
        <v>65</v>
      </c>
      <c r="D8" t="s">
        <v>74</v>
      </c>
      <c r="F8" s="7">
        <v>7433982090</v>
      </c>
      <c r="G8" s="4" t="s">
        <v>75</v>
      </c>
      <c r="H8" s="1" t="s">
        <v>76</v>
      </c>
      <c r="I8" t="s">
        <v>77</v>
      </c>
      <c r="J8" s="1" t="s">
        <v>78</v>
      </c>
      <c r="K8" t="s">
        <v>41</v>
      </c>
      <c r="L8" t="s">
        <v>25</v>
      </c>
      <c r="M8" t="s">
        <v>26</v>
      </c>
      <c r="Q8" t="s">
        <v>79</v>
      </c>
    </row>
    <row r="9" spans="1:17" ht="130.5" x14ac:dyDescent="0.35">
      <c r="A9" t="s">
        <v>80</v>
      </c>
      <c r="B9" s="5">
        <v>35400</v>
      </c>
      <c r="C9" s="4" t="s">
        <v>81</v>
      </c>
      <c r="D9" t="s">
        <v>82</v>
      </c>
      <c r="F9" s="7">
        <v>8127977077</v>
      </c>
      <c r="G9" s="4" t="s">
        <v>83</v>
      </c>
      <c r="I9" t="s">
        <v>84</v>
      </c>
      <c r="J9" s="1" t="s">
        <v>85</v>
      </c>
      <c r="K9" t="s">
        <v>86</v>
      </c>
      <c r="L9" t="s">
        <v>87</v>
      </c>
      <c r="M9" t="s">
        <v>88</v>
      </c>
      <c r="Q9" t="s">
        <v>89</v>
      </c>
    </row>
    <row r="10" spans="1:17" ht="232" x14ac:dyDescent="0.35">
      <c r="A10" t="s">
        <v>90</v>
      </c>
      <c r="B10" s="4" t="s">
        <v>91</v>
      </c>
      <c r="C10" s="4" t="s">
        <v>92</v>
      </c>
      <c r="D10" t="s">
        <v>93</v>
      </c>
      <c r="E10" t="s">
        <v>93</v>
      </c>
      <c r="F10" s="7" t="s">
        <v>94</v>
      </c>
      <c r="G10" s="4" t="s">
        <v>95</v>
      </c>
      <c r="I10" t="s">
        <v>96</v>
      </c>
      <c r="J10" s="1" t="s">
        <v>97</v>
      </c>
      <c r="K10" t="s">
        <v>98</v>
      </c>
      <c r="L10" t="s">
        <v>25</v>
      </c>
      <c r="M10" t="s">
        <v>26</v>
      </c>
      <c r="Q10" t="s">
        <v>99</v>
      </c>
    </row>
    <row r="11" spans="1:17" ht="116" x14ac:dyDescent="0.35">
      <c r="A11" t="s">
        <v>100</v>
      </c>
      <c r="F11" s="7">
        <v>6355957594</v>
      </c>
      <c r="G11" s="4" t="s">
        <v>101</v>
      </c>
      <c r="H11" s="1" t="s">
        <v>102</v>
      </c>
      <c r="I11" t="s">
        <v>103</v>
      </c>
      <c r="J11" s="1" t="s">
        <v>104</v>
      </c>
      <c r="K11" t="s">
        <v>105</v>
      </c>
      <c r="L11" t="s">
        <v>25</v>
      </c>
      <c r="Q11" t="s">
        <v>106</v>
      </c>
    </row>
    <row r="12" spans="1:17" ht="43.5" x14ac:dyDescent="0.35">
      <c r="A12" t="s">
        <v>107</v>
      </c>
      <c r="B12" s="5">
        <v>37018</v>
      </c>
      <c r="C12" s="4" t="s">
        <v>65</v>
      </c>
      <c r="D12" t="s">
        <v>108</v>
      </c>
      <c r="F12" s="7" t="s">
        <v>109</v>
      </c>
      <c r="G12" s="4" t="s">
        <v>110</v>
      </c>
      <c r="H12" s="1" t="s">
        <v>111</v>
      </c>
      <c r="K12" t="s">
        <v>112</v>
      </c>
      <c r="L12" t="s">
        <v>113</v>
      </c>
      <c r="M12" t="s">
        <v>26</v>
      </c>
      <c r="Q12" t="s">
        <v>114</v>
      </c>
    </row>
    <row r="13" spans="1:17" ht="58" x14ac:dyDescent="0.35">
      <c r="A13" t="s">
        <v>115</v>
      </c>
      <c r="B13" s="4" t="s">
        <v>116</v>
      </c>
      <c r="C13" s="4" t="s">
        <v>92</v>
      </c>
      <c r="D13" t="s">
        <v>117</v>
      </c>
      <c r="E13" t="s">
        <v>117</v>
      </c>
      <c r="F13" s="7">
        <v>6354794574</v>
      </c>
      <c r="G13" s="4" t="s">
        <v>118</v>
      </c>
      <c r="H13" s="1" t="s">
        <v>119</v>
      </c>
      <c r="I13" t="s">
        <v>120</v>
      </c>
      <c r="J13" s="1" t="s">
        <v>121</v>
      </c>
      <c r="K13" t="s">
        <v>122</v>
      </c>
      <c r="L13" t="s">
        <v>25</v>
      </c>
      <c r="M13" t="s">
        <v>26</v>
      </c>
      <c r="Q13" t="s">
        <v>123</v>
      </c>
    </row>
    <row r="14" spans="1:17" ht="72.5" x14ac:dyDescent="0.35">
      <c r="A14" t="s">
        <v>124</v>
      </c>
      <c r="B14" s="4" t="s">
        <v>125</v>
      </c>
      <c r="F14" s="7">
        <v>6307788388</v>
      </c>
      <c r="G14" s="4" t="s">
        <v>126</v>
      </c>
      <c r="H14" s="1" t="s">
        <v>127</v>
      </c>
      <c r="I14" t="s">
        <v>128</v>
      </c>
      <c r="J14" s="1" t="s">
        <v>129</v>
      </c>
      <c r="K14" t="s">
        <v>130</v>
      </c>
      <c r="L14" t="s">
        <v>87</v>
      </c>
      <c r="Q14" t="s">
        <v>131</v>
      </c>
    </row>
    <row r="15" spans="1:17" ht="43.5" x14ac:dyDescent="0.35">
      <c r="A15" t="s">
        <v>132</v>
      </c>
      <c r="B15" s="5">
        <v>38028</v>
      </c>
      <c r="C15" s="4" t="s">
        <v>133</v>
      </c>
      <c r="D15" t="s">
        <v>134</v>
      </c>
      <c r="F15" s="7">
        <v>9773432731</v>
      </c>
      <c r="G15" s="4" t="s">
        <v>135</v>
      </c>
      <c r="H15" s="1" t="s">
        <v>136</v>
      </c>
      <c r="K15" t="s">
        <v>137</v>
      </c>
      <c r="L15" t="s">
        <v>138</v>
      </c>
      <c r="M15" t="s">
        <v>61</v>
      </c>
      <c r="Q15" t="s">
        <v>139</v>
      </c>
    </row>
    <row r="16" spans="1:17" ht="101.5" x14ac:dyDescent="0.35">
      <c r="A16" t="s">
        <v>140</v>
      </c>
      <c r="B16" s="5">
        <v>37775</v>
      </c>
      <c r="C16" s="4" t="s">
        <v>141</v>
      </c>
      <c r="D16" t="s">
        <v>142</v>
      </c>
      <c r="E16" t="s">
        <v>142</v>
      </c>
      <c r="F16" s="7">
        <v>8171464318</v>
      </c>
      <c r="G16" s="4" t="s">
        <v>143</v>
      </c>
      <c r="H16" s="1" t="s">
        <v>144</v>
      </c>
      <c r="I16" t="s">
        <v>145</v>
      </c>
      <c r="J16" s="1" t="s">
        <v>146</v>
      </c>
      <c r="K16" t="s">
        <v>147</v>
      </c>
      <c r="L16" t="s">
        <v>87</v>
      </c>
      <c r="M16" t="s">
        <v>26</v>
      </c>
      <c r="Q16" t="s">
        <v>148</v>
      </c>
    </row>
    <row r="17" spans="1:17" ht="72.5" x14ac:dyDescent="0.35">
      <c r="A17" t="s">
        <v>149</v>
      </c>
      <c r="B17" s="5">
        <v>35472</v>
      </c>
      <c r="C17" s="4" t="s">
        <v>65</v>
      </c>
      <c r="D17" t="s">
        <v>150</v>
      </c>
      <c r="E17" t="s">
        <v>150</v>
      </c>
      <c r="F17" s="7" t="s">
        <v>151</v>
      </c>
      <c r="G17" s="4" t="s">
        <v>152</v>
      </c>
      <c r="H17" s="1" t="s">
        <v>153</v>
      </c>
      <c r="I17" t="s">
        <v>154</v>
      </c>
      <c r="J17" s="1" t="s">
        <v>155</v>
      </c>
      <c r="K17" t="s">
        <v>41</v>
      </c>
      <c r="L17" t="s">
        <v>25</v>
      </c>
      <c r="M17" t="s">
        <v>26</v>
      </c>
      <c r="Q17" t="s">
        <v>156</v>
      </c>
    </row>
    <row r="18" spans="1:17" ht="275.5" x14ac:dyDescent="0.35">
      <c r="A18" t="s">
        <v>157</v>
      </c>
      <c r="B18" s="5">
        <v>36568</v>
      </c>
      <c r="C18" s="4" t="s">
        <v>158</v>
      </c>
      <c r="D18" t="s">
        <v>159</v>
      </c>
      <c r="F18" s="7">
        <v>8769886808</v>
      </c>
      <c r="G18" s="4" t="s">
        <v>160</v>
      </c>
      <c r="H18" s="1" t="s">
        <v>161</v>
      </c>
      <c r="I18" t="s">
        <v>162</v>
      </c>
      <c r="J18" s="1" t="s">
        <v>163</v>
      </c>
      <c r="K18" t="s">
        <v>164</v>
      </c>
      <c r="L18" t="s">
        <v>60</v>
      </c>
      <c r="M18" t="s">
        <v>61</v>
      </c>
      <c r="Q18" t="s">
        <v>165</v>
      </c>
    </row>
    <row r="19" spans="1:17" ht="58" x14ac:dyDescent="0.35">
      <c r="A19" t="s">
        <v>166</v>
      </c>
      <c r="B19" s="4" t="s">
        <v>167</v>
      </c>
      <c r="C19" s="4" t="s">
        <v>65</v>
      </c>
      <c r="D19" t="s">
        <v>168</v>
      </c>
      <c r="F19" s="7">
        <f>91-7571830790</f>
        <v>-7571830699</v>
      </c>
      <c r="G19" s="4" t="s">
        <v>169</v>
      </c>
      <c r="I19" t="s">
        <v>103</v>
      </c>
      <c r="J19" s="1" t="s">
        <v>170</v>
      </c>
      <c r="K19" t="s">
        <v>171</v>
      </c>
      <c r="L19" t="s">
        <v>87</v>
      </c>
      <c r="M19" t="s">
        <v>26</v>
      </c>
      <c r="Q19" t="s">
        <v>172</v>
      </c>
    </row>
    <row r="20" spans="1:17" ht="43.5" x14ac:dyDescent="0.35">
      <c r="A20" t="s">
        <v>173</v>
      </c>
      <c r="B20" s="5">
        <v>39296</v>
      </c>
      <c r="C20" s="4" t="s">
        <v>65</v>
      </c>
      <c r="D20" t="s">
        <v>174</v>
      </c>
      <c r="F20" s="7">
        <v>7505178018</v>
      </c>
      <c r="G20" s="4" t="s">
        <v>175</v>
      </c>
      <c r="H20" s="1" t="s">
        <v>176</v>
      </c>
      <c r="I20">
        <v>0</v>
      </c>
      <c r="K20" t="s">
        <v>177</v>
      </c>
      <c r="L20" t="s">
        <v>87</v>
      </c>
      <c r="Q20" t="s">
        <v>178</v>
      </c>
    </row>
    <row r="21" spans="1:17" ht="72.5" x14ac:dyDescent="0.35">
      <c r="A21" t="s">
        <v>179</v>
      </c>
      <c r="F21" s="7">
        <v>9687769878</v>
      </c>
      <c r="G21" s="4" t="s">
        <v>180</v>
      </c>
      <c r="H21" s="1" t="s">
        <v>181</v>
      </c>
      <c r="I21" t="s">
        <v>182</v>
      </c>
      <c r="J21" s="1" t="s">
        <v>183</v>
      </c>
      <c r="Q21" t="s">
        <v>184</v>
      </c>
    </row>
    <row r="22" spans="1:17" ht="87" x14ac:dyDescent="0.35">
      <c r="A22" t="s">
        <v>185</v>
      </c>
      <c r="B22" s="4" t="s">
        <v>186</v>
      </c>
      <c r="C22" s="4" t="s">
        <v>45</v>
      </c>
      <c r="D22" t="s">
        <v>187</v>
      </c>
      <c r="F22" s="7">
        <v>9548498876</v>
      </c>
      <c r="G22" s="4" t="s">
        <v>188</v>
      </c>
      <c r="H22" s="1" t="s">
        <v>189</v>
      </c>
      <c r="I22" t="s">
        <v>190</v>
      </c>
      <c r="J22" s="1" t="s">
        <v>191</v>
      </c>
      <c r="K22" t="s">
        <v>147</v>
      </c>
      <c r="L22" t="s">
        <v>87</v>
      </c>
      <c r="M22" t="s">
        <v>61</v>
      </c>
      <c r="Q22" t="s">
        <v>192</v>
      </c>
    </row>
    <row r="23" spans="1:17" ht="72.5" x14ac:dyDescent="0.35">
      <c r="A23" t="s">
        <v>193</v>
      </c>
      <c r="D23" t="s">
        <v>194</v>
      </c>
      <c r="E23" t="s">
        <v>194</v>
      </c>
      <c r="F23" s="7">
        <v>7567520189</v>
      </c>
      <c r="G23" s="4" t="s">
        <v>195</v>
      </c>
      <c r="H23" s="1" t="s">
        <v>196</v>
      </c>
      <c r="I23" t="s">
        <v>197</v>
      </c>
      <c r="J23" s="1" t="s">
        <v>198</v>
      </c>
      <c r="K23" t="s">
        <v>199</v>
      </c>
      <c r="L23" t="s">
        <v>25</v>
      </c>
      <c r="Q23" t="s">
        <v>200</v>
      </c>
    </row>
    <row r="24" spans="1:17" ht="203" x14ac:dyDescent="0.35">
      <c r="A24" t="s">
        <v>201</v>
      </c>
      <c r="B24" s="4" t="s">
        <v>202</v>
      </c>
      <c r="D24" t="s">
        <v>203</v>
      </c>
      <c r="F24" s="7">
        <v>919997986013</v>
      </c>
      <c r="G24" s="4" t="s">
        <v>204</v>
      </c>
      <c r="H24" s="1" t="s">
        <v>205</v>
      </c>
      <c r="J24" s="1" t="s">
        <v>206</v>
      </c>
      <c r="K24" t="s">
        <v>147</v>
      </c>
      <c r="L24" t="s">
        <v>87</v>
      </c>
      <c r="Q24" t="s">
        <v>207</v>
      </c>
    </row>
    <row r="25" spans="1:17" ht="43.5" x14ac:dyDescent="0.35">
      <c r="A25" t="s">
        <v>208</v>
      </c>
      <c r="B25" s="4" t="s">
        <v>209</v>
      </c>
      <c r="C25" s="4" t="s">
        <v>210</v>
      </c>
      <c r="D25" t="s">
        <v>211</v>
      </c>
      <c r="F25" s="7" t="s">
        <v>212</v>
      </c>
      <c r="H25" s="1" t="s">
        <v>213</v>
      </c>
      <c r="I25" t="s">
        <v>214</v>
      </c>
      <c r="J25" s="1" t="s">
        <v>215</v>
      </c>
      <c r="K25" t="s">
        <v>41</v>
      </c>
      <c r="L25" t="s">
        <v>25</v>
      </c>
      <c r="M25" t="s">
        <v>26</v>
      </c>
      <c r="Q25" t="s">
        <v>216</v>
      </c>
    </row>
    <row r="26" spans="1:17" ht="159.5" x14ac:dyDescent="0.35">
      <c r="A26" t="s">
        <v>217</v>
      </c>
      <c r="B26" s="4" t="s">
        <v>218</v>
      </c>
      <c r="C26" s="4" t="s">
        <v>141</v>
      </c>
      <c r="D26" t="s">
        <v>219</v>
      </c>
      <c r="F26" s="7" t="s">
        <v>220</v>
      </c>
      <c r="G26" s="4" t="s">
        <v>221</v>
      </c>
      <c r="H26" s="1" t="s">
        <v>222</v>
      </c>
      <c r="I26" t="s">
        <v>223</v>
      </c>
      <c r="J26" s="1" t="s">
        <v>224</v>
      </c>
      <c r="K26" t="s">
        <v>41</v>
      </c>
      <c r="L26" t="s">
        <v>25</v>
      </c>
      <c r="M26" t="s">
        <v>26</v>
      </c>
      <c r="Q26" t="s">
        <v>225</v>
      </c>
    </row>
    <row r="27" spans="1:17" ht="87" x14ac:dyDescent="0.35">
      <c r="A27" t="s">
        <v>226</v>
      </c>
      <c r="D27" t="s">
        <v>227</v>
      </c>
      <c r="F27" s="7" t="s">
        <v>228</v>
      </c>
      <c r="G27" s="4" t="s">
        <v>229</v>
      </c>
      <c r="I27" t="s">
        <v>103</v>
      </c>
      <c r="J27" s="1" t="s">
        <v>230</v>
      </c>
      <c r="K27" t="s">
        <v>231</v>
      </c>
      <c r="L27" t="s">
        <v>25</v>
      </c>
      <c r="Q27" t="s">
        <v>232</v>
      </c>
    </row>
    <row r="28" spans="1:17" ht="43.5" x14ac:dyDescent="0.35">
      <c r="A28" t="s">
        <v>233</v>
      </c>
      <c r="B28" s="4" t="s">
        <v>234</v>
      </c>
      <c r="C28" s="4" t="s">
        <v>141</v>
      </c>
      <c r="D28" t="s">
        <v>235</v>
      </c>
      <c r="E28" t="s">
        <v>235</v>
      </c>
      <c r="F28" s="7">
        <v>8780293709</v>
      </c>
      <c r="G28" s="4" t="s">
        <v>236</v>
      </c>
      <c r="H28" s="1" t="s">
        <v>237</v>
      </c>
      <c r="K28" t="s">
        <v>41</v>
      </c>
      <c r="L28" t="s">
        <v>25</v>
      </c>
      <c r="M28" t="s">
        <v>26</v>
      </c>
      <c r="Q28" t="s">
        <v>238</v>
      </c>
    </row>
    <row r="29" spans="1:17" ht="159.5" x14ac:dyDescent="0.35">
      <c r="A29" t="s">
        <v>239</v>
      </c>
      <c r="B29" s="4" t="s">
        <v>240</v>
      </c>
      <c r="C29" s="4" t="s">
        <v>65</v>
      </c>
      <c r="D29" t="s">
        <v>241</v>
      </c>
      <c r="F29" s="7">
        <f>91-8780967522</f>
        <v>-8780967431</v>
      </c>
      <c r="G29" s="4" t="s">
        <v>242</v>
      </c>
      <c r="H29" s="1" t="s">
        <v>243</v>
      </c>
      <c r="I29" t="s">
        <v>244</v>
      </c>
      <c r="J29" s="1" t="s">
        <v>245</v>
      </c>
      <c r="K29" t="s">
        <v>41</v>
      </c>
      <c r="L29" t="s">
        <v>25</v>
      </c>
      <c r="M29" t="s">
        <v>26</v>
      </c>
      <c r="Q29" t="s">
        <v>246</v>
      </c>
    </row>
    <row r="30" spans="1:17" ht="72.5" x14ac:dyDescent="0.35">
      <c r="A30" t="s">
        <v>247</v>
      </c>
      <c r="B30" s="4" t="s">
        <v>248</v>
      </c>
      <c r="C30" s="4" t="s">
        <v>65</v>
      </c>
      <c r="D30" t="s">
        <v>249</v>
      </c>
      <c r="F30" s="7">
        <v>7567130151</v>
      </c>
      <c r="G30" s="4" t="s">
        <v>250</v>
      </c>
      <c r="H30" s="1" t="s">
        <v>251</v>
      </c>
      <c r="I30" t="s">
        <v>252</v>
      </c>
      <c r="J30" s="1" t="s">
        <v>253</v>
      </c>
      <c r="K30" t="s">
        <v>51</v>
      </c>
      <c r="L30" t="s">
        <v>25</v>
      </c>
      <c r="M30" t="s">
        <v>26</v>
      </c>
      <c r="Q30" t="s">
        <v>254</v>
      </c>
    </row>
    <row r="31" spans="1:17" ht="159.5" x14ac:dyDescent="0.35">
      <c r="A31" t="s">
        <v>80</v>
      </c>
      <c r="B31" s="5">
        <v>35400</v>
      </c>
      <c r="C31" s="4" t="s">
        <v>81</v>
      </c>
      <c r="D31" t="s">
        <v>82</v>
      </c>
      <c r="F31" s="7">
        <v>8127977077</v>
      </c>
      <c r="G31" s="4" t="s">
        <v>255</v>
      </c>
      <c r="I31" t="s">
        <v>84</v>
      </c>
      <c r="J31" s="1" t="s">
        <v>256</v>
      </c>
      <c r="K31" t="s">
        <v>86</v>
      </c>
      <c r="L31" t="s">
        <v>113</v>
      </c>
      <c r="M31" t="s">
        <v>88</v>
      </c>
      <c r="Q31" t="s">
        <v>257</v>
      </c>
    </row>
    <row r="32" spans="1:17" ht="72.5" x14ac:dyDescent="0.35">
      <c r="A32" t="s">
        <v>179</v>
      </c>
      <c r="F32" s="7">
        <v>9687769878</v>
      </c>
      <c r="G32" s="4" t="s">
        <v>180</v>
      </c>
      <c r="H32" s="1" t="s">
        <v>258</v>
      </c>
      <c r="I32" t="s">
        <v>182</v>
      </c>
      <c r="J32" s="1" t="s">
        <v>183</v>
      </c>
      <c r="K32" t="s">
        <v>259</v>
      </c>
      <c r="L32" t="s">
        <v>25</v>
      </c>
      <c r="Q32" t="s">
        <v>260</v>
      </c>
    </row>
    <row r="33" spans="1:17" ht="43.5" x14ac:dyDescent="0.35">
      <c r="A33" t="s">
        <v>107</v>
      </c>
      <c r="B33" s="5">
        <v>37018</v>
      </c>
      <c r="C33" s="4" t="s">
        <v>65</v>
      </c>
      <c r="D33" t="s">
        <v>108</v>
      </c>
      <c r="F33" s="7" t="s">
        <v>109</v>
      </c>
      <c r="G33" s="4" t="s">
        <v>110</v>
      </c>
      <c r="H33" s="1" t="s">
        <v>111</v>
      </c>
      <c r="K33" t="s">
        <v>112</v>
      </c>
      <c r="L33" t="s">
        <v>113</v>
      </c>
      <c r="M33" t="s">
        <v>26</v>
      </c>
      <c r="Q33" t="s">
        <v>261</v>
      </c>
    </row>
    <row r="34" spans="1:17" ht="116" x14ac:dyDescent="0.35">
      <c r="A34" t="s">
        <v>262</v>
      </c>
      <c r="B34" s="5">
        <v>35067</v>
      </c>
      <c r="C34" s="4" t="s">
        <v>92</v>
      </c>
      <c r="D34" t="s">
        <v>263</v>
      </c>
      <c r="F34" s="7" t="s">
        <v>264</v>
      </c>
      <c r="G34" s="4" t="s">
        <v>265</v>
      </c>
      <c r="H34" s="1" t="s">
        <v>266</v>
      </c>
      <c r="I34" t="s">
        <v>154</v>
      </c>
      <c r="J34" s="1" t="s">
        <v>267</v>
      </c>
      <c r="K34" t="s">
        <v>268</v>
      </c>
      <c r="L34" t="s">
        <v>25</v>
      </c>
      <c r="M34" t="s">
        <v>26</v>
      </c>
      <c r="Q34" t="s">
        <v>269</v>
      </c>
    </row>
    <row r="35" spans="1:17" ht="72.5" x14ac:dyDescent="0.35">
      <c r="A35" t="s">
        <v>201</v>
      </c>
      <c r="B35" s="4" t="s">
        <v>202</v>
      </c>
      <c r="D35" t="s">
        <v>203</v>
      </c>
      <c r="F35" s="7">
        <v>919997986013</v>
      </c>
      <c r="G35" s="4" t="s">
        <v>204</v>
      </c>
      <c r="H35" s="1" t="s">
        <v>270</v>
      </c>
      <c r="J35" s="1" t="s">
        <v>271</v>
      </c>
      <c r="K35" t="s">
        <v>147</v>
      </c>
      <c r="L35" t="s">
        <v>87</v>
      </c>
      <c r="Q35" t="s">
        <v>272</v>
      </c>
    </row>
    <row r="36" spans="1:17" ht="43.5" x14ac:dyDescent="0.35">
      <c r="A36" t="s">
        <v>273</v>
      </c>
      <c r="B36" s="4" t="s">
        <v>274</v>
      </c>
      <c r="C36" s="4" t="s">
        <v>275</v>
      </c>
      <c r="D36" t="s">
        <v>276</v>
      </c>
      <c r="F36" s="7">
        <v>9636084189</v>
      </c>
      <c r="G36" s="4" t="s">
        <v>277</v>
      </c>
      <c r="H36" s="1" t="s">
        <v>278</v>
      </c>
      <c r="I36" t="s">
        <v>279</v>
      </c>
      <c r="J36" s="1" t="s">
        <v>280</v>
      </c>
      <c r="K36" t="s">
        <v>164</v>
      </c>
      <c r="L36" t="s">
        <v>60</v>
      </c>
      <c r="M36" t="s">
        <v>61</v>
      </c>
      <c r="Q36" t="s">
        <v>281</v>
      </c>
    </row>
    <row r="37" spans="1:17" ht="58" x14ac:dyDescent="0.35">
      <c r="A37" t="s">
        <v>282</v>
      </c>
      <c r="D37" t="s">
        <v>283</v>
      </c>
      <c r="E37" t="s">
        <v>284</v>
      </c>
      <c r="F37" s="7">
        <v>8758651199</v>
      </c>
      <c r="G37" s="4" t="s">
        <v>285</v>
      </c>
      <c r="H37" s="1" t="s">
        <v>286</v>
      </c>
      <c r="I37" t="s">
        <v>287</v>
      </c>
      <c r="J37" s="1" t="s">
        <v>288</v>
      </c>
      <c r="K37" t="s">
        <v>41</v>
      </c>
      <c r="L37" t="s">
        <v>25</v>
      </c>
      <c r="Q37" t="s">
        <v>289</v>
      </c>
    </row>
    <row r="38" spans="1:17" ht="43.5" x14ac:dyDescent="0.35">
      <c r="A38" t="s">
        <v>290</v>
      </c>
      <c r="B38" s="4" t="s">
        <v>291</v>
      </c>
      <c r="C38" s="4" t="s">
        <v>65</v>
      </c>
      <c r="D38" t="s">
        <v>292</v>
      </c>
      <c r="F38" s="7">
        <v>9316153847</v>
      </c>
      <c r="G38" s="4" t="s">
        <v>293</v>
      </c>
      <c r="H38" s="1" t="s">
        <v>294</v>
      </c>
      <c r="I38" t="s">
        <v>295</v>
      </c>
      <c r="J38" s="1" t="s">
        <v>296</v>
      </c>
      <c r="K38" t="s">
        <v>41</v>
      </c>
      <c r="L38" t="s">
        <v>25</v>
      </c>
      <c r="M38" t="s">
        <v>26</v>
      </c>
      <c r="O38">
        <v>664849237065</v>
      </c>
      <c r="Q38" t="s">
        <v>297</v>
      </c>
    </row>
    <row r="39" spans="1:17" ht="72.5" x14ac:dyDescent="0.35">
      <c r="A39" t="s">
        <v>166</v>
      </c>
      <c r="B39" s="4" t="s">
        <v>167</v>
      </c>
      <c r="C39" s="4" t="s">
        <v>65</v>
      </c>
      <c r="D39" t="s">
        <v>298</v>
      </c>
      <c r="F39" s="7">
        <v>917571830790</v>
      </c>
      <c r="G39" s="4" t="s">
        <v>169</v>
      </c>
      <c r="H39" s="1" t="s">
        <v>299</v>
      </c>
      <c r="I39" t="s">
        <v>300</v>
      </c>
      <c r="J39" s="1" t="s">
        <v>301</v>
      </c>
      <c r="K39" t="s">
        <v>171</v>
      </c>
      <c r="L39" t="s">
        <v>87</v>
      </c>
      <c r="M39" t="s">
        <v>26</v>
      </c>
      <c r="Q39" t="s">
        <v>302</v>
      </c>
    </row>
    <row r="40" spans="1:17" ht="101.5" x14ac:dyDescent="0.35">
      <c r="A40" t="s">
        <v>53</v>
      </c>
      <c r="B40" s="5">
        <v>37747</v>
      </c>
      <c r="C40" s="4" t="s">
        <v>65</v>
      </c>
      <c r="D40" t="s">
        <v>55</v>
      </c>
      <c r="F40" s="7">
        <v>8905642662</v>
      </c>
      <c r="G40" s="4" t="s">
        <v>56</v>
      </c>
      <c r="I40" t="s">
        <v>57</v>
      </c>
      <c r="J40" s="1" t="s">
        <v>303</v>
      </c>
      <c r="K40" t="s">
        <v>59</v>
      </c>
      <c r="L40" t="s">
        <v>304</v>
      </c>
      <c r="M40" t="s">
        <v>26</v>
      </c>
      <c r="Q40" t="s">
        <v>305</v>
      </c>
    </row>
    <row r="41" spans="1:17" ht="43.5" x14ac:dyDescent="0.35">
      <c r="A41" t="s">
        <v>306</v>
      </c>
      <c r="B41" s="4" t="s">
        <v>209</v>
      </c>
      <c r="C41" s="4" t="s">
        <v>210</v>
      </c>
      <c r="D41" t="s">
        <v>211</v>
      </c>
      <c r="F41" s="7">
        <v>6354617853</v>
      </c>
      <c r="H41" s="1" t="s">
        <v>213</v>
      </c>
      <c r="I41" t="s">
        <v>214</v>
      </c>
      <c r="J41" s="1" t="s">
        <v>307</v>
      </c>
      <c r="K41" t="s">
        <v>41</v>
      </c>
      <c r="L41" t="s">
        <v>25</v>
      </c>
      <c r="M41" t="s">
        <v>26</v>
      </c>
      <c r="Q41" t="s">
        <v>308</v>
      </c>
    </row>
    <row r="42" spans="1:17" ht="58" x14ac:dyDescent="0.35">
      <c r="A42" t="s">
        <v>115</v>
      </c>
      <c r="B42" s="4" t="s">
        <v>116</v>
      </c>
      <c r="C42" s="4" t="s">
        <v>92</v>
      </c>
      <c r="D42" t="s">
        <v>117</v>
      </c>
      <c r="E42" t="s">
        <v>117</v>
      </c>
      <c r="F42" s="7">
        <v>6354794574</v>
      </c>
      <c r="G42" s="4" t="s">
        <v>118</v>
      </c>
      <c r="H42" s="1" t="s">
        <v>119</v>
      </c>
      <c r="I42" t="s">
        <v>120</v>
      </c>
      <c r="J42" s="1" t="s">
        <v>309</v>
      </c>
      <c r="K42" t="s">
        <v>310</v>
      </c>
      <c r="L42" t="s">
        <v>25</v>
      </c>
      <c r="M42" t="s">
        <v>26</v>
      </c>
      <c r="Q42" t="s">
        <v>311</v>
      </c>
    </row>
    <row r="43" spans="1:17" ht="290" x14ac:dyDescent="0.35">
      <c r="A43" t="s">
        <v>157</v>
      </c>
      <c r="B43" s="5">
        <v>36568</v>
      </c>
      <c r="C43" s="4" t="s">
        <v>158</v>
      </c>
      <c r="D43" t="s">
        <v>159</v>
      </c>
      <c r="E43" t="s">
        <v>312</v>
      </c>
      <c r="F43" s="7">
        <v>8769886808</v>
      </c>
      <c r="G43" s="4" t="s">
        <v>160</v>
      </c>
      <c r="H43" s="1" t="s">
        <v>161</v>
      </c>
      <c r="I43" t="s">
        <v>162</v>
      </c>
      <c r="J43" s="1" t="s">
        <v>313</v>
      </c>
      <c r="K43" t="s">
        <v>164</v>
      </c>
      <c r="L43" t="s">
        <v>60</v>
      </c>
      <c r="M43" t="s">
        <v>61</v>
      </c>
      <c r="Q43" t="s">
        <v>314</v>
      </c>
    </row>
    <row r="44" spans="1:17" ht="217.5" x14ac:dyDescent="0.35">
      <c r="A44" t="s">
        <v>315</v>
      </c>
      <c r="B44" s="4" t="s">
        <v>316</v>
      </c>
      <c r="C44" s="4" t="s">
        <v>92</v>
      </c>
      <c r="D44" t="s">
        <v>317</v>
      </c>
      <c r="F44" s="7">
        <v>8249899736</v>
      </c>
      <c r="G44" s="4" t="s">
        <v>318</v>
      </c>
      <c r="H44" s="1" t="s">
        <v>319</v>
      </c>
      <c r="I44" t="s">
        <v>320</v>
      </c>
      <c r="J44" s="1" t="s">
        <v>321</v>
      </c>
      <c r="K44" t="s">
        <v>268</v>
      </c>
      <c r="L44" t="s">
        <v>25</v>
      </c>
      <c r="M44" t="s">
        <v>26</v>
      </c>
      <c r="Q44" t="s">
        <v>322</v>
      </c>
    </row>
    <row r="45" spans="1:17" ht="116" x14ac:dyDescent="0.35">
      <c r="A45" t="s">
        <v>323</v>
      </c>
      <c r="B45" s="6">
        <v>34344</v>
      </c>
      <c r="D45" t="s">
        <v>324</v>
      </c>
      <c r="F45" s="7">
        <v>7874312739</v>
      </c>
      <c r="G45" s="4" t="s">
        <v>325</v>
      </c>
      <c r="I45" t="s">
        <v>326</v>
      </c>
      <c r="J45" s="1" t="s">
        <v>327</v>
      </c>
      <c r="K45" t="s">
        <v>328</v>
      </c>
      <c r="L45" t="s">
        <v>25</v>
      </c>
      <c r="Q45" t="s">
        <v>329</v>
      </c>
    </row>
    <row r="46" spans="1:17" ht="174" x14ac:dyDescent="0.35">
      <c r="A46" t="s">
        <v>330</v>
      </c>
      <c r="E46" t="s">
        <v>331</v>
      </c>
      <c r="F46" s="7" t="s">
        <v>332</v>
      </c>
      <c r="G46" s="4" t="s">
        <v>333</v>
      </c>
      <c r="H46" s="1" t="s">
        <v>334</v>
      </c>
      <c r="I46" t="s">
        <v>128</v>
      </c>
      <c r="J46" s="1" t="s">
        <v>335</v>
      </c>
      <c r="K46" t="s">
        <v>336</v>
      </c>
      <c r="Q46" t="s">
        <v>337</v>
      </c>
    </row>
    <row r="47" spans="1:17" ht="43.5" x14ac:dyDescent="0.35">
      <c r="A47" t="s">
        <v>338</v>
      </c>
      <c r="B47" s="4" t="s">
        <v>339</v>
      </c>
      <c r="F47" s="7" t="s">
        <v>340</v>
      </c>
      <c r="G47" s="4" t="s">
        <v>341</v>
      </c>
      <c r="H47" s="1" t="s">
        <v>342</v>
      </c>
      <c r="I47">
        <v>0</v>
      </c>
      <c r="J47" s="1" t="s">
        <v>343</v>
      </c>
      <c r="K47" t="s">
        <v>328</v>
      </c>
      <c r="M47" t="s">
        <v>26</v>
      </c>
      <c r="Q47" t="s">
        <v>344</v>
      </c>
    </row>
    <row r="48" spans="1:17" ht="43.5" x14ac:dyDescent="0.35">
      <c r="A48" t="s">
        <v>345</v>
      </c>
      <c r="B48" s="4" t="s">
        <v>346</v>
      </c>
      <c r="C48" s="4" t="s">
        <v>65</v>
      </c>
      <c r="D48" t="s">
        <v>347</v>
      </c>
      <c r="E48" t="s">
        <v>348</v>
      </c>
      <c r="F48" s="7">
        <v>9173267845</v>
      </c>
      <c r="G48" s="4" t="s">
        <v>349</v>
      </c>
      <c r="H48" s="1" t="s">
        <v>350</v>
      </c>
      <c r="I48" t="s">
        <v>190</v>
      </c>
      <c r="J48" s="1" t="s">
        <v>351</v>
      </c>
      <c r="K48" t="s">
        <v>41</v>
      </c>
      <c r="L48" t="s">
        <v>25</v>
      </c>
      <c r="M48" t="s">
        <v>26</v>
      </c>
      <c r="Q48" t="s">
        <v>352</v>
      </c>
    </row>
    <row r="49" spans="1:17" ht="101.5" x14ac:dyDescent="0.35">
      <c r="A49" t="s">
        <v>353</v>
      </c>
      <c r="B49" s="4" t="s">
        <v>354</v>
      </c>
      <c r="C49" s="4" t="s">
        <v>92</v>
      </c>
      <c r="D49" t="s">
        <v>355</v>
      </c>
      <c r="F49" s="7" t="s">
        <v>356</v>
      </c>
      <c r="G49" s="4" t="s">
        <v>357</v>
      </c>
      <c r="H49" s="1" t="s">
        <v>358</v>
      </c>
      <c r="I49" t="s">
        <v>359</v>
      </c>
      <c r="J49" s="1" t="s">
        <v>360</v>
      </c>
      <c r="K49" t="s">
        <v>41</v>
      </c>
      <c r="L49" t="s">
        <v>25</v>
      </c>
      <c r="Q49" t="s">
        <v>361</v>
      </c>
    </row>
    <row r="50" spans="1:17" ht="72.5" x14ac:dyDescent="0.35">
      <c r="A50" t="s">
        <v>362</v>
      </c>
      <c r="B50" s="5">
        <v>38637</v>
      </c>
      <c r="C50" s="4" t="s">
        <v>45</v>
      </c>
      <c r="D50" t="s">
        <v>363</v>
      </c>
      <c r="F50" s="7">
        <v>917990724030</v>
      </c>
      <c r="G50" s="4" t="s">
        <v>364</v>
      </c>
      <c r="H50" s="1" t="s">
        <v>365</v>
      </c>
      <c r="I50" t="s">
        <v>128</v>
      </c>
      <c r="J50" s="1" t="s">
        <v>366</v>
      </c>
      <c r="K50" t="s">
        <v>367</v>
      </c>
      <c r="L50" t="s">
        <v>25</v>
      </c>
      <c r="M50" t="s">
        <v>61</v>
      </c>
      <c r="Q50" t="s">
        <v>368</v>
      </c>
    </row>
    <row r="51" spans="1:17" ht="87" x14ac:dyDescent="0.35">
      <c r="A51" t="s">
        <v>369</v>
      </c>
      <c r="D51" t="s">
        <v>370</v>
      </c>
      <c r="E51" t="s">
        <v>370</v>
      </c>
      <c r="F51" s="7">
        <v>8090694503</v>
      </c>
      <c r="G51" s="4" t="s">
        <v>371</v>
      </c>
      <c r="H51" s="1" t="s">
        <v>372</v>
      </c>
      <c r="I51" t="s">
        <v>373</v>
      </c>
      <c r="J51" s="1" t="s">
        <v>374</v>
      </c>
      <c r="K51" t="s">
        <v>375</v>
      </c>
      <c r="L51" t="s">
        <v>376</v>
      </c>
      <c r="Q51" t="s">
        <v>377</v>
      </c>
    </row>
    <row r="52" spans="1:17" ht="217.5" x14ac:dyDescent="0.35">
      <c r="A52" t="s">
        <v>378</v>
      </c>
      <c r="B52" s="4" t="s">
        <v>379</v>
      </c>
      <c r="C52" s="4" t="s">
        <v>92</v>
      </c>
      <c r="D52" t="s">
        <v>380</v>
      </c>
      <c r="E52" t="s">
        <v>380</v>
      </c>
      <c r="F52" s="7">
        <v>8780937379</v>
      </c>
      <c r="G52" s="4" t="s">
        <v>381</v>
      </c>
      <c r="H52" s="1" t="s">
        <v>382</v>
      </c>
      <c r="I52" t="s">
        <v>383</v>
      </c>
      <c r="J52" s="1" t="s">
        <v>384</v>
      </c>
      <c r="K52" t="s">
        <v>41</v>
      </c>
      <c r="L52" t="s">
        <v>25</v>
      </c>
      <c r="M52" t="s">
        <v>26</v>
      </c>
      <c r="Q52" t="s">
        <v>385</v>
      </c>
    </row>
    <row r="53" spans="1:17" ht="29" x14ac:dyDescent="0.35">
      <c r="A53" t="s">
        <v>386</v>
      </c>
      <c r="B53" s="5">
        <v>34460</v>
      </c>
      <c r="C53" s="4" t="s">
        <v>92</v>
      </c>
      <c r="D53" t="s">
        <v>387</v>
      </c>
      <c r="F53" s="7">
        <v>7016896802</v>
      </c>
      <c r="G53" s="4" t="s">
        <v>388</v>
      </c>
      <c r="I53" t="s">
        <v>389</v>
      </c>
      <c r="J53" s="1" t="s">
        <v>390</v>
      </c>
      <c r="K53" t="s">
        <v>268</v>
      </c>
      <c r="M53" t="s">
        <v>26</v>
      </c>
      <c r="Q53" t="s">
        <v>391</v>
      </c>
    </row>
    <row r="54" spans="1:17" ht="217.5" x14ac:dyDescent="0.35">
      <c r="A54" t="s">
        <v>392</v>
      </c>
      <c r="B54" s="5">
        <v>33034</v>
      </c>
      <c r="C54" s="4" t="s">
        <v>393</v>
      </c>
      <c r="D54" t="s">
        <v>394</v>
      </c>
      <c r="F54" s="7">
        <v>919139577316</v>
      </c>
      <c r="G54" s="4" t="s">
        <v>395</v>
      </c>
      <c r="H54" s="1" t="s">
        <v>396</v>
      </c>
      <c r="I54" t="s">
        <v>320</v>
      </c>
      <c r="J54" s="1" t="s">
        <v>397</v>
      </c>
      <c r="K54" t="s">
        <v>398</v>
      </c>
      <c r="L54" t="s">
        <v>399</v>
      </c>
      <c r="M54" t="s">
        <v>26</v>
      </c>
      <c r="Q54" t="s">
        <v>400</v>
      </c>
    </row>
    <row r="55" spans="1:17" ht="203" x14ac:dyDescent="0.35">
      <c r="A55" t="s">
        <v>401</v>
      </c>
      <c r="D55" t="s">
        <v>402</v>
      </c>
      <c r="E55" t="s">
        <v>402</v>
      </c>
      <c r="F55" s="7">
        <v>9470084800</v>
      </c>
      <c r="G55" s="4" t="s">
        <v>403</v>
      </c>
      <c r="H55" s="1" t="s">
        <v>404</v>
      </c>
      <c r="I55" t="s">
        <v>252</v>
      </c>
      <c r="J55" s="1" t="s">
        <v>405</v>
      </c>
      <c r="K55" t="s">
        <v>112</v>
      </c>
      <c r="L55" t="s">
        <v>87</v>
      </c>
      <c r="Q55" t="s">
        <v>406</v>
      </c>
    </row>
    <row r="56" spans="1:17" ht="43.5" x14ac:dyDescent="0.35">
      <c r="A56" t="s">
        <v>407</v>
      </c>
      <c r="B56" s="5">
        <v>38477</v>
      </c>
      <c r="C56" s="4" t="s">
        <v>65</v>
      </c>
      <c r="D56" t="s">
        <v>408</v>
      </c>
      <c r="F56" s="7">
        <v>919621986462</v>
      </c>
      <c r="G56" s="4" t="s">
        <v>409</v>
      </c>
      <c r="H56" s="1" t="s">
        <v>410</v>
      </c>
      <c r="I56" t="s">
        <v>128</v>
      </c>
      <c r="J56" s="1" t="s">
        <v>411</v>
      </c>
      <c r="K56" t="s">
        <v>412</v>
      </c>
      <c r="L56" t="s">
        <v>87</v>
      </c>
      <c r="M56" t="s">
        <v>26</v>
      </c>
      <c r="Q56" t="s">
        <v>413</v>
      </c>
    </row>
    <row r="57" spans="1:17" ht="58" x14ac:dyDescent="0.35">
      <c r="A57" t="s">
        <v>414</v>
      </c>
      <c r="B57" s="5">
        <v>38626</v>
      </c>
      <c r="C57" s="4" t="s">
        <v>65</v>
      </c>
      <c r="F57" s="7">
        <v>6290712137</v>
      </c>
      <c r="G57" s="4" t="s">
        <v>415</v>
      </c>
      <c r="H57" s="1" t="s">
        <v>416</v>
      </c>
      <c r="I57">
        <v>0</v>
      </c>
      <c r="J57" s="1" t="s">
        <v>417</v>
      </c>
      <c r="M57" t="s">
        <v>418</v>
      </c>
      <c r="Q57" t="s">
        <v>419</v>
      </c>
    </row>
    <row r="58" spans="1:17" ht="130.5" x14ac:dyDescent="0.35">
      <c r="A58" t="s">
        <v>28</v>
      </c>
      <c r="F58" s="7">
        <v>919616950840</v>
      </c>
      <c r="G58" s="4" t="s">
        <v>30</v>
      </c>
      <c r="I58" t="s">
        <v>32</v>
      </c>
      <c r="J58" s="1" t="s">
        <v>420</v>
      </c>
      <c r="K58" t="s">
        <v>34</v>
      </c>
      <c r="L58" t="s">
        <v>25</v>
      </c>
      <c r="Q58" t="s">
        <v>421</v>
      </c>
    </row>
    <row r="59" spans="1:17" ht="145" x14ac:dyDescent="0.35">
      <c r="A59" t="s">
        <v>422</v>
      </c>
      <c r="B59" s="4" t="s">
        <v>423</v>
      </c>
      <c r="C59" s="4" t="s">
        <v>92</v>
      </c>
      <c r="D59" t="s">
        <v>424</v>
      </c>
      <c r="F59" s="7" t="s">
        <v>425</v>
      </c>
      <c r="G59" s="4" t="s">
        <v>426</v>
      </c>
      <c r="H59" s="1" t="s">
        <v>427</v>
      </c>
      <c r="I59" t="s">
        <v>428</v>
      </c>
      <c r="J59" s="1" t="s">
        <v>429</v>
      </c>
      <c r="K59" t="s">
        <v>41</v>
      </c>
      <c r="L59" t="s">
        <v>25</v>
      </c>
      <c r="M59" t="s">
        <v>26</v>
      </c>
      <c r="Q59" t="s">
        <v>430</v>
      </c>
    </row>
    <row r="60" spans="1:17" ht="159.5" x14ac:dyDescent="0.35">
      <c r="A60" t="s">
        <v>431</v>
      </c>
      <c r="B60" s="4" t="s">
        <v>432</v>
      </c>
      <c r="E60" t="s">
        <v>433</v>
      </c>
      <c r="F60" s="7">
        <v>9924690791</v>
      </c>
      <c r="G60" s="4" t="s">
        <v>434</v>
      </c>
      <c r="H60" s="1" t="s">
        <v>435</v>
      </c>
      <c r="I60" t="s">
        <v>436</v>
      </c>
      <c r="J60" s="1" t="s">
        <v>437</v>
      </c>
      <c r="K60" t="s">
        <v>438</v>
      </c>
      <c r="L60" t="s">
        <v>25</v>
      </c>
      <c r="Q60" t="s">
        <v>439</v>
      </c>
    </row>
    <row r="61" spans="1:17" ht="174" x14ac:dyDescent="0.35">
      <c r="A61" t="s">
        <v>440</v>
      </c>
      <c r="B61" s="5">
        <v>34427</v>
      </c>
      <c r="C61" s="4" t="s">
        <v>92</v>
      </c>
      <c r="D61" t="s">
        <v>441</v>
      </c>
      <c r="F61" s="7">
        <f>91-8637537469</f>
        <v>-8637537378</v>
      </c>
      <c r="G61" s="4" t="s">
        <v>442</v>
      </c>
      <c r="H61" s="1" t="s">
        <v>443</v>
      </c>
      <c r="I61" t="s">
        <v>444</v>
      </c>
      <c r="J61" s="1" t="s">
        <v>445</v>
      </c>
      <c r="K61" t="s">
        <v>446</v>
      </c>
      <c r="L61" t="s">
        <v>447</v>
      </c>
      <c r="M61" t="s">
        <v>26</v>
      </c>
      <c r="Q61" t="s">
        <v>448</v>
      </c>
    </row>
    <row r="62" spans="1:17" ht="246.5" x14ac:dyDescent="0.35">
      <c r="A62" t="s">
        <v>449</v>
      </c>
      <c r="B62" s="5">
        <v>36842</v>
      </c>
      <c r="D62" t="s">
        <v>450</v>
      </c>
      <c r="F62" s="7"/>
      <c r="G62" s="4" t="s">
        <v>451</v>
      </c>
      <c r="H62" s="1" t="s">
        <v>452</v>
      </c>
      <c r="I62" t="s">
        <v>453</v>
      </c>
      <c r="J62" s="1" t="s">
        <v>454</v>
      </c>
      <c r="K62" t="s">
        <v>455</v>
      </c>
      <c r="L62" t="s">
        <v>456</v>
      </c>
      <c r="M62" t="s">
        <v>26</v>
      </c>
      <c r="Q62" t="s">
        <v>457</v>
      </c>
    </row>
    <row r="63" spans="1:17" ht="43.5" x14ac:dyDescent="0.35">
      <c r="A63" t="s">
        <v>458</v>
      </c>
      <c r="B63" s="5">
        <v>37418</v>
      </c>
      <c r="D63" t="s">
        <v>459</v>
      </c>
      <c r="E63" t="s">
        <v>459</v>
      </c>
      <c r="F63" s="7">
        <v>9925228025</v>
      </c>
      <c r="G63" s="4" t="s">
        <v>460</v>
      </c>
      <c r="H63" s="1" t="s">
        <v>461</v>
      </c>
      <c r="I63" t="s">
        <v>128</v>
      </c>
      <c r="K63" t="s">
        <v>268</v>
      </c>
      <c r="L63" t="s">
        <v>25</v>
      </c>
      <c r="M63" t="s">
        <v>26</v>
      </c>
      <c r="Q63" t="s">
        <v>462</v>
      </c>
    </row>
    <row r="64" spans="1:17" ht="261" x14ac:dyDescent="0.35">
      <c r="A64" t="s">
        <v>463</v>
      </c>
      <c r="B64" s="4" t="s">
        <v>91</v>
      </c>
      <c r="C64" s="4" t="s">
        <v>92</v>
      </c>
      <c r="D64" t="s">
        <v>93</v>
      </c>
      <c r="E64" t="s">
        <v>93</v>
      </c>
      <c r="F64" s="7" t="s">
        <v>94</v>
      </c>
      <c r="G64" s="4" t="s">
        <v>95</v>
      </c>
      <c r="H64" s="1" t="s">
        <v>464</v>
      </c>
      <c r="I64" t="s">
        <v>465</v>
      </c>
      <c r="J64" s="1" t="s">
        <v>466</v>
      </c>
      <c r="K64" t="s">
        <v>98</v>
      </c>
      <c r="L64" t="s">
        <v>25</v>
      </c>
      <c r="M64" t="s">
        <v>26</v>
      </c>
      <c r="Q64" t="s">
        <v>467</v>
      </c>
    </row>
    <row r="65" spans="1:17" ht="333.5" x14ac:dyDescent="0.35">
      <c r="A65" t="s">
        <v>468</v>
      </c>
      <c r="B65" s="4" t="s">
        <v>469</v>
      </c>
      <c r="C65" s="4" t="s">
        <v>92</v>
      </c>
      <c r="D65" t="s">
        <v>470</v>
      </c>
      <c r="E65" t="s">
        <v>471</v>
      </c>
      <c r="F65" s="7" t="s">
        <v>472</v>
      </c>
      <c r="G65" s="4" t="s">
        <v>473</v>
      </c>
      <c r="H65" s="1" t="s">
        <v>474</v>
      </c>
      <c r="I65" t="s">
        <v>475</v>
      </c>
      <c r="J65" s="1" t="s">
        <v>476</v>
      </c>
      <c r="K65" t="s">
        <v>477</v>
      </c>
      <c r="L65" t="s">
        <v>25</v>
      </c>
      <c r="M65" t="s">
        <v>26</v>
      </c>
      <c r="Q65" t="s">
        <v>478</v>
      </c>
    </row>
    <row r="66" spans="1:17" ht="174" x14ac:dyDescent="0.35">
      <c r="A66" t="s">
        <v>479</v>
      </c>
      <c r="B66" s="6">
        <v>36628</v>
      </c>
      <c r="C66" s="4" t="s">
        <v>65</v>
      </c>
      <c r="D66" t="s">
        <v>480</v>
      </c>
      <c r="F66" s="7">
        <v>9058860528</v>
      </c>
      <c r="G66" s="4" t="s">
        <v>481</v>
      </c>
      <c r="H66" s="1" t="s">
        <v>482</v>
      </c>
      <c r="I66" t="s">
        <v>483</v>
      </c>
      <c r="J66" s="1" t="s">
        <v>484</v>
      </c>
      <c r="K66" t="s">
        <v>485</v>
      </c>
      <c r="L66" t="s">
        <v>87</v>
      </c>
      <c r="M66" t="s">
        <v>26</v>
      </c>
      <c r="Q66" t="s">
        <v>486</v>
      </c>
    </row>
    <row r="67" spans="1:17" ht="101.5" x14ac:dyDescent="0.35">
      <c r="A67" t="s">
        <v>487</v>
      </c>
      <c r="B67" s="5">
        <v>32874</v>
      </c>
      <c r="C67" s="4" t="s">
        <v>92</v>
      </c>
      <c r="D67" t="s">
        <v>488</v>
      </c>
      <c r="E67" t="s">
        <v>488</v>
      </c>
      <c r="F67" s="7">
        <v>9925085064</v>
      </c>
      <c r="G67" s="4" t="s">
        <v>489</v>
      </c>
      <c r="I67" t="s">
        <v>428</v>
      </c>
      <c r="J67" s="1" t="s">
        <v>490</v>
      </c>
      <c r="K67" t="s">
        <v>491</v>
      </c>
      <c r="L67" t="s">
        <v>25</v>
      </c>
      <c r="M67" t="s">
        <v>26</v>
      </c>
      <c r="Q67" t="s">
        <v>492</v>
      </c>
    </row>
    <row r="68" spans="1:17" ht="159.5" x14ac:dyDescent="0.35">
      <c r="A68" t="s">
        <v>493</v>
      </c>
      <c r="B68" s="5">
        <v>33317</v>
      </c>
      <c r="E68" t="s">
        <v>494</v>
      </c>
      <c r="F68" s="7" t="s">
        <v>495</v>
      </c>
      <c r="G68" s="4" t="s">
        <v>496</v>
      </c>
      <c r="H68" s="1" t="s">
        <v>497</v>
      </c>
      <c r="I68">
        <v>12</v>
      </c>
      <c r="J68" s="1" t="s">
        <v>498</v>
      </c>
      <c r="K68" t="s">
        <v>336</v>
      </c>
      <c r="L68" t="s">
        <v>25</v>
      </c>
      <c r="P68" t="s">
        <v>494</v>
      </c>
      <c r="Q68" t="s">
        <v>499</v>
      </c>
    </row>
    <row r="69" spans="1:17" ht="43.5" x14ac:dyDescent="0.35">
      <c r="A69" t="s">
        <v>500</v>
      </c>
      <c r="B69" s="4" t="s">
        <v>501</v>
      </c>
      <c r="C69" s="4" t="s">
        <v>210</v>
      </c>
      <c r="D69" t="s">
        <v>502</v>
      </c>
      <c r="F69" s="7">
        <f>91-9365891764</f>
        <v>-9365891673</v>
      </c>
      <c r="G69" s="4" t="s">
        <v>503</v>
      </c>
      <c r="I69" t="s">
        <v>287</v>
      </c>
      <c r="J69" s="1" t="s">
        <v>504</v>
      </c>
      <c r="K69" t="s">
        <v>505</v>
      </c>
      <c r="L69" t="s">
        <v>506</v>
      </c>
      <c r="M69" t="s">
        <v>26</v>
      </c>
      <c r="Q69" t="s">
        <v>507</v>
      </c>
    </row>
    <row r="70" spans="1:17" ht="159.5" x14ac:dyDescent="0.35">
      <c r="A70" t="s">
        <v>508</v>
      </c>
      <c r="B70" s="4" t="s">
        <v>509</v>
      </c>
      <c r="D70" t="s">
        <v>510</v>
      </c>
      <c r="E70" t="s">
        <v>511</v>
      </c>
      <c r="F70" s="7" t="s">
        <v>512</v>
      </c>
      <c r="G70" s="4" t="s">
        <v>513</v>
      </c>
      <c r="I70" t="s">
        <v>453</v>
      </c>
      <c r="J70" s="1" t="s">
        <v>514</v>
      </c>
      <c r="K70" t="s">
        <v>515</v>
      </c>
      <c r="L70" t="s">
        <v>87</v>
      </c>
      <c r="M70" t="s">
        <v>26</v>
      </c>
      <c r="Q70" t="s">
        <v>516</v>
      </c>
    </row>
    <row r="71" spans="1:17" ht="159.5" x14ac:dyDescent="0.35">
      <c r="A71" t="s">
        <v>517</v>
      </c>
      <c r="E71" t="s">
        <v>518</v>
      </c>
      <c r="F71" s="7">
        <v>9265969206</v>
      </c>
      <c r="H71" s="1" t="s">
        <v>519</v>
      </c>
      <c r="I71" t="s">
        <v>320</v>
      </c>
      <c r="J71" s="1" t="s">
        <v>520</v>
      </c>
      <c r="K71" t="s">
        <v>491</v>
      </c>
      <c r="L71" t="s">
        <v>25</v>
      </c>
      <c r="Q71" t="s">
        <v>521</v>
      </c>
    </row>
    <row r="72" spans="1:17" ht="409.5" x14ac:dyDescent="0.35">
      <c r="A72" t="s">
        <v>522</v>
      </c>
      <c r="D72" t="s">
        <v>523</v>
      </c>
      <c r="F72" s="7" t="s">
        <v>524</v>
      </c>
      <c r="G72" s="4" t="s">
        <v>525</v>
      </c>
      <c r="H72" s="1" t="s">
        <v>526</v>
      </c>
      <c r="I72" t="s">
        <v>527</v>
      </c>
      <c r="J72" s="1" t="s">
        <v>528</v>
      </c>
      <c r="K72" t="s">
        <v>41</v>
      </c>
      <c r="L72" t="s">
        <v>25</v>
      </c>
      <c r="Q72" t="s">
        <v>529</v>
      </c>
    </row>
    <row r="73" spans="1:17" ht="72.5" x14ac:dyDescent="0.35">
      <c r="A73" t="s">
        <v>530</v>
      </c>
      <c r="B73" s="5">
        <v>35523</v>
      </c>
      <c r="D73" t="s">
        <v>531</v>
      </c>
      <c r="F73" s="7">
        <v>9265493824</v>
      </c>
      <c r="G73" s="4" t="s">
        <v>532</v>
      </c>
      <c r="I73" t="s">
        <v>533</v>
      </c>
      <c r="J73" s="1" t="s">
        <v>534</v>
      </c>
      <c r="K73" t="s">
        <v>535</v>
      </c>
      <c r="L73" t="s">
        <v>25</v>
      </c>
      <c r="M73" t="s">
        <v>26</v>
      </c>
      <c r="Q73" t="s">
        <v>536</v>
      </c>
    </row>
    <row r="74" spans="1:17" ht="116" x14ac:dyDescent="0.35">
      <c r="A74" t="s">
        <v>100</v>
      </c>
      <c r="F74" s="7">
        <v>6355957594</v>
      </c>
      <c r="G74" s="4" t="s">
        <v>101</v>
      </c>
      <c r="I74" t="s">
        <v>182</v>
      </c>
      <c r="J74" s="1" t="s">
        <v>537</v>
      </c>
      <c r="L74" t="s">
        <v>25</v>
      </c>
      <c r="Q74" t="s">
        <v>538</v>
      </c>
    </row>
    <row r="75" spans="1:17" ht="43.5" x14ac:dyDescent="0.35">
      <c r="A75" t="s">
        <v>539</v>
      </c>
      <c r="B75" s="4" t="s">
        <v>540</v>
      </c>
      <c r="C75" s="4" t="s">
        <v>65</v>
      </c>
      <c r="D75" t="s">
        <v>541</v>
      </c>
      <c r="F75" s="7" t="s">
        <v>542</v>
      </c>
      <c r="G75" s="4" t="s">
        <v>543</v>
      </c>
      <c r="H75" s="1" t="s">
        <v>544</v>
      </c>
      <c r="I75">
        <v>0</v>
      </c>
      <c r="K75" t="s">
        <v>268</v>
      </c>
      <c r="L75" t="s">
        <v>25</v>
      </c>
      <c r="M75" t="s">
        <v>26</v>
      </c>
      <c r="Q75" t="s">
        <v>545</v>
      </c>
    </row>
    <row r="76" spans="1:17" ht="43.5" x14ac:dyDescent="0.35">
      <c r="A76" t="s">
        <v>546</v>
      </c>
      <c r="B76" s="4" t="s">
        <v>547</v>
      </c>
      <c r="C76" s="4" t="s">
        <v>92</v>
      </c>
      <c r="D76" t="s">
        <v>548</v>
      </c>
      <c r="F76" s="7">
        <v>9726299819</v>
      </c>
      <c r="G76" s="4" t="s">
        <v>549</v>
      </c>
      <c r="H76" s="1" t="s">
        <v>550</v>
      </c>
      <c r="I76" t="s">
        <v>103</v>
      </c>
      <c r="J76" s="1" t="s">
        <v>551</v>
      </c>
      <c r="K76" t="s">
        <v>41</v>
      </c>
      <c r="L76" t="s">
        <v>552</v>
      </c>
      <c r="M76" t="s">
        <v>26</v>
      </c>
      <c r="Q76" t="s">
        <v>553</v>
      </c>
    </row>
    <row r="77" spans="1:17" ht="72.5" x14ac:dyDescent="0.35">
      <c r="A77" t="s">
        <v>554</v>
      </c>
      <c r="B77" s="5">
        <v>36138</v>
      </c>
      <c r="C77" s="4" t="s">
        <v>555</v>
      </c>
      <c r="D77" t="s">
        <v>556</v>
      </c>
      <c r="F77" s="7" t="s">
        <v>557</v>
      </c>
      <c r="G77" s="4" t="s">
        <v>558</v>
      </c>
      <c r="H77" s="1" t="s">
        <v>559</v>
      </c>
      <c r="I77" t="s">
        <v>287</v>
      </c>
      <c r="J77" s="1" t="s">
        <v>560</v>
      </c>
      <c r="K77" t="s">
        <v>561</v>
      </c>
      <c r="L77" t="s">
        <v>562</v>
      </c>
      <c r="M77" t="s">
        <v>26</v>
      </c>
      <c r="Q77" t="s">
        <v>563</v>
      </c>
    </row>
    <row r="78" spans="1:17" ht="43.5" x14ac:dyDescent="0.35">
      <c r="A78" t="s">
        <v>564</v>
      </c>
      <c r="F78" s="7"/>
      <c r="H78" s="1" t="s">
        <v>565</v>
      </c>
      <c r="J78" s="1" t="s">
        <v>566</v>
      </c>
      <c r="Q78" t="s">
        <v>567</v>
      </c>
    </row>
    <row r="79" spans="1:17" x14ac:dyDescent="0.35">
      <c r="F79" s="7"/>
      <c r="I79" t="s">
        <v>128</v>
      </c>
      <c r="Q79" t="s">
        <v>568</v>
      </c>
    </row>
    <row r="80" spans="1:17" ht="43.5" x14ac:dyDescent="0.35">
      <c r="A80" t="s">
        <v>569</v>
      </c>
      <c r="B80" s="4" t="s">
        <v>570</v>
      </c>
      <c r="C80" s="4" t="s">
        <v>393</v>
      </c>
      <c r="F80" s="7">
        <v>8052929950</v>
      </c>
      <c r="G80" s="4" t="s">
        <v>571</v>
      </c>
      <c r="H80" s="1" t="s">
        <v>572</v>
      </c>
      <c r="I80" t="s">
        <v>287</v>
      </c>
      <c r="J80" s="1" t="s">
        <v>573</v>
      </c>
      <c r="K80" t="s">
        <v>574</v>
      </c>
      <c r="L80" t="s">
        <v>376</v>
      </c>
      <c r="M80" t="s">
        <v>26</v>
      </c>
      <c r="Q80" t="s">
        <v>575</v>
      </c>
    </row>
    <row r="81" spans="1:17" ht="101.5" x14ac:dyDescent="0.35">
      <c r="A81" t="s">
        <v>576</v>
      </c>
      <c r="B81" s="4" t="s">
        <v>577</v>
      </c>
      <c r="C81" s="4" t="s">
        <v>65</v>
      </c>
      <c r="D81" t="s">
        <v>541</v>
      </c>
      <c r="E81" t="s">
        <v>541</v>
      </c>
      <c r="F81" s="7" t="s">
        <v>578</v>
      </c>
      <c r="G81" s="4" t="s">
        <v>579</v>
      </c>
      <c r="H81" s="1" t="s">
        <v>580</v>
      </c>
      <c r="I81" t="s">
        <v>483</v>
      </c>
      <c r="J81" s="1" t="s">
        <v>581</v>
      </c>
      <c r="K81" t="s">
        <v>268</v>
      </c>
      <c r="L81" t="s">
        <v>25</v>
      </c>
      <c r="M81" t="s">
        <v>26</v>
      </c>
      <c r="Q81" t="s">
        <v>582</v>
      </c>
    </row>
    <row r="82" spans="1:17" ht="409.5" x14ac:dyDescent="0.35">
      <c r="A82" t="s">
        <v>583</v>
      </c>
      <c r="B82" s="4" t="s">
        <v>584</v>
      </c>
      <c r="C82" s="4" t="s">
        <v>158</v>
      </c>
      <c r="E82" t="s">
        <v>585</v>
      </c>
      <c r="F82" s="7" t="s">
        <v>586</v>
      </c>
      <c r="G82" s="4" t="s">
        <v>587</v>
      </c>
      <c r="H82" s="1" t="s">
        <v>588</v>
      </c>
      <c r="I82" t="s">
        <v>589</v>
      </c>
      <c r="J82" s="1" t="s">
        <v>590</v>
      </c>
      <c r="K82" t="s">
        <v>591</v>
      </c>
      <c r="L82" t="s">
        <v>592</v>
      </c>
      <c r="Q82" t="s">
        <v>593</v>
      </c>
    </row>
    <row r="83" spans="1:17" ht="406" x14ac:dyDescent="0.35">
      <c r="A83" t="s">
        <v>594</v>
      </c>
      <c r="B83" s="4" t="s">
        <v>595</v>
      </c>
      <c r="C83" s="4" t="s">
        <v>92</v>
      </c>
      <c r="D83" t="s">
        <v>596</v>
      </c>
      <c r="E83" t="s">
        <v>597</v>
      </c>
      <c r="F83" s="7" t="s">
        <v>598</v>
      </c>
      <c r="G83" s="4" t="s">
        <v>599</v>
      </c>
      <c r="I83" t="s">
        <v>600</v>
      </c>
      <c r="J83" s="1" t="s">
        <v>601</v>
      </c>
      <c r="K83" t="s">
        <v>51</v>
      </c>
      <c r="L83" t="s">
        <v>138</v>
      </c>
      <c r="Q83" t="s">
        <v>602</v>
      </c>
    </row>
    <row r="84" spans="1:17" ht="43.5" x14ac:dyDescent="0.35">
      <c r="A84" t="s">
        <v>603</v>
      </c>
      <c r="B84" s="5">
        <v>37571</v>
      </c>
      <c r="E84" t="s">
        <v>604</v>
      </c>
      <c r="F84" s="7" t="s">
        <v>605</v>
      </c>
      <c r="H84" s="1" t="s">
        <v>606</v>
      </c>
      <c r="I84" t="s">
        <v>607</v>
      </c>
      <c r="J84" s="1" t="s">
        <v>608</v>
      </c>
      <c r="K84" t="s">
        <v>328</v>
      </c>
      <c r="M84" t="s">
        <v>26</v>
      </c>
      <c r="Q84" t="s">
        <v>609</v>
      </c>
    </row>
    <row r="85" spans="1:17" ht="174" x14ac:dyDescent="0.35">
      <c r="A85" t="s">
        <v>610</v>
      </c>
      <c r="B85" s="5">
        <v>38658</v>
      </c>
      <c r="C85" s="4" t="s">
        <v>65</v>
      </c>
      <c r="D85" t="s">
        <v>611</v>
      </c>
      <c r="E85" t="s">
        <v>611</v>
      </c>
      <c r="F85" s="7">
        <v>9925923810</v>
      </c>
      <c r="G85" s="4" t="s">
        <v>612</v>
      </c>
      <c r="H85" s="1" t="s">
        <v>613</v>
      </c>
      <c r="I85" t="s">
        <v>214</v>
      </c>
      <c r="J85" s="1" t="s">
        <v>614</v>
      </c>
      <c r="K85" t="s">
        <v>268</v>
      </c>
      <c r="L85" t="s">
        <v>25</v>
      </c>
      <c r="M85" t="s">
        <v>26</v>
      </c>
      <c r="Q85" t="s">
        <v>615</v>
      </c>
    </row>
    <row r="86" spans="1:17" ht="174" x14ac:dyDescent="0.35">
      <c r="A86" t="s">
        <v>616</v>
      </c>
      <c r="B86" s="4" t="s">
        <v>617</v>
      </c>
      <c r="C86" s="4" t="s">
        <v>92</v>
      </c>
      <c r="D86" t="s">
        <v>618</v>
      </c>
      <c r="F86" s="7">
        <f>91-7874441112</f>
        <v>-7874441021</v>
      </c>
      <c r="G86" s="4" t="s">
        <v>619</v>
      </c>
      <c r="H86" s="1" t="s">
        <v>620</v>
      </c>
      <c r="I86" t="s">
        <v>621</v>
      </c>
      <c r="J86" s="1" t="s">
        <v>622</v>
      </c>
      <c r="K86" t="s">
        <v>51</v>
      </c>
      <c r="L86" t="s">
        <v>138</v>
      </c>
      <c r="M86" t="s">
        <v>26</v>
      </c>
      <c r="Q86" t="s">
        <v>623</v>
      </c>
    </row>
    <row r="87" spans="1:17" ht="246.5" x14ac:dyDescent="0.35">
      <c r="A87" t="s">
        <v>624</v>
      </c>
      <c r="E87" t="s">
        <v>625</v>
      </c>
      <c r="F87" s="7">
        <f>91-9879467374</f>
        <v>-9879467283</v>
      </c>
      <c r="G87" s="4" t="s">
        <v>626</v>
      </c>
      <c r="H87" s="1" t="s">
        <v>627</v>
      </c>
      <c r="I87" t="s">
        <v>628</v>
      </c>
      <c r="J87" s="1" t="s">
        <v>629</v>
      </c>
      <c r="K87" t="s">
        <v>630</v>
      </c>
      <c r="L87" t="s">
        <v>25</v>
      </c>
      <c r="Q87" t="s">
        <v>631</v>
      </c>
    </row>
    <row r="88" spans="1:17" x14ac:dyDescent="0.35">
      <c r="A88" t="s">
        <v>632</v>
      </c>
      <c r="F88" s="7">
        <v>9925993219</v>
      </c>
      <c r="G88" s="4" t="s">
        <v>633</v>
      </c>
      <c r="Q88" t="s">
        <v>634</v>
      </c>
    </row>
    <row r="89" spans="1:17" ht="203" x14ac:dyDescent="0.35">
      <c r="A89" t="s">
        <v>635</v>
      </c>
      <c r="B89" s="4" t="s">
        <v>636</v>
      </c>
      <c r="D89" t="s">
        <v>637</v>
      </c>
      <c r="E89" t="s">
        <v>637</v>
      </c>
      <c r="F89" s="7">
        <v>7069234171</v>
      </c>
      <c r="G89" s="4" t="s">
        <v>638</v>
      </c>
      <c r="H89" s="1" t="s">
        <v>639</v>
      </c>
      <c r="I89" t="s">
        <v>154</v>
      </c>
      <c r="J89" s="1" t="s">
        <v>640</v>
      </c>
      <c r="K89" t="s">
        <v>641</v>
      </c>
      <c r="L89" t="s">
        <v>642</v>
      </c>
      <c r="M89" t="s">
        <v>61</v>
      </c>
      <c r="Q89" t="s">
        <v>643</v>
      </c>
    </row>
    <row r="90" spans="1:17" ht="116" x14ac:dyDescent="0.35">
      <c r="A90" t="s">
        <v>644</v>
      </c>
      <c r="B90" s="4" t="s">
        <v>645</v>
      </c>
      <c r="C90" s="4" t="s">
        <v>65</v>
      </c>
      <c r="D90" t="s">
        <v>646</v>
      </c>
      <c r="F90" s="7">
        <v>9428120886</v>
      </c>
      <c r="G90" s="4" t="s">
        <v>647</v>
      </c>
      <c r="I90" t="s">
        <v>648</v>
      </c>
      <c r="J90" s="1" t="s">
        <v>649</v>
      </c>
      <c r="K90" t="s">
        <v>650</v>
      </c>
      <c r="L90" t="s">
        <v>25</v>
      </c>
      <c r="M90" t="s">
        <v>26</v>
      </c>
      <c r="Q90" t="s">
        <v>651</v>
      </c>
    </row>
    <row r="91" spans="1:17" ht="72.5" x14ac:dyDescent="0.35">
      <c r="A91" t="s">
        <v>652</v>
      </c>
      <c r="B91" s="5">
        <v>35677</v>
      </c>
      <c r="C91" s="4" t="s">
        <v>92</v>
      </c>
      <c r="D91" t="s">
        <v>653</v>
      </c>
      <c r="E91" t="s">
        <v>653</v>
      </c>
      <c r="F91" s="7">
        <v>9510176619</v>
      </c>
      <c r="G91" s="4" t="s">
        <v>654</v>
      </c>
      <c r="H91" s="1" t="s">
        <v>655</v>
      </c>
      <c r="I91" t="s">
        <v>39</v>
      </c>
      <c r="J91" s="1" t="s">
        <v>656</v>
      </c>
      <c r="K91" t="s">
        <v>41</v>
      </c>
      <c r="L91" t="s">
        <v>25</v>
      </c>
      <c r="Q91" t="s">
        <v>657</v>
      </c>
    </row>
    <row r="92" spans="1:17" ht="275.5" x14ac:dyDescent="0.35">
      <c r="A92" t="s">
        <v>658</v>
      </c>
      <c r="B92" s="4" t="s">
        <v>659</v>
      </c>
      <c r="D92" t="s">
        <v>660</v>
      </c>
      <c r="E92" t="s">
        <v>660</v>
      </c>
      <c r="F92" s="7" t="s">
        <v>661</v>
      </c>
      <c r="G92" s="4" t="s">
        <v>662</v>
      </c>
      <c r="H92" s="1" t="s">
        <v>663</v>
      </c>
      <c r="I92" t="s">
        <v>664</v>
      </c>
      <c r="J92" s="1" t="s">
        <v>665</v>
      </c>
      <c r="K92" t="s">
        <v>666</v>
      </c>
      <c r="L92" t="s">
        <v>447</v>
      </c>
      <c r="M92" t="s">
        <v>61</v>
      </c>
      <c r="Q92" t="s">
        <v>667</v>
      </c>
    </row>
    <row r="93" spans="1:17" ht="159.5" x14ac:dyDescent="0.35">
      <c r="A93" t="s">
        <v>668</v>
      </c>
      <c r="F93" s="7" t="s">
        <v>669</v>
      </c>
      <c r="G93" s="4" t="s">
        <v>670</v>
      </c>
      <c r="H93" s="1" t="s">
        <v>671</v>
      </c>
      <c r="I93" t="s">
        <v>672</v>
      </c>
      <c r="J93" s="1" t="s">
        <v>673</v>
      </c>
      <c r="Q93" t="s">
        <v>674</v>
      </c>
    </row>
    <row r="94" spans="1:17" ht="159.5" x14ac:dyDescent="0.35">
      <c r="A94" t="s">
        <v>675</v>
      </c>
      <c r="D94" t="s">
        <v>676</v>
      </c>
      <c r="F94" s="7">
        <v>9574796427</v>
      </c>
      <c r="G94" s="4" t="s">
        <v>677</v>
      </c>
      <c r="H94" s="1" t="s">
        <v>678</v>
      </c>
      <c r="I94" t="s">
        <v>679</v>
      </c>
      <c r="J94" s="1" t="s">
        <v>680</v>
      </c>
      <c r="K94" t="s">
        <v>41</v>
      </c>
      <c r="L94" t="s">
        <v>25</v>
      </c>
      <c r="Q94" t="s">
        <v>681</v>
      </c>
    </row>
    <row r="95" spans="1:17" ht="275.5" x14ac:dyDescent="0.35">
      <c r="A95" t="s">
        <v>682</v>
      </c>
      <c r="B95" s="4" t="s">
        <v>683</v>
      </c>
      <c r="C95" s="4" t="s">
        <v>92</v>
      </c>
      <c r="D95" t="s">
        <v>684</v>
      </c>
      <c r="E95" t="s">
        <v>684</v>
      </c>
      <c r="F95" s="7">
        <v>9712270763</v>
      </c>
      <c r="G95" s="4" t="s">
        <v>685</v>
      </c>
      <c r="I95" t="s">
        <v>628</v>
      </c>
      <c r="J95" s="1" t="s">
        <v>686</v>
      </c>
      <c r="K95" t="s">
        <v>41</v>
      </c>
      <c r="L95" t="s">
        <v>25</v>
      </c>
      <c r="M95" t="s">
        <v>26</v>
      </c>
      <c r="Q95" t="s">
        <v>687</v>
      </c>
    </row>
    <row r="96" spans="1:17" ht="188.5" x14ac:dyDescent="0.35">
      <c r="A96" t="s">
        <v>688</v>
      </c>
      <c r="B96" s="4" t="s">
        <v>689</v>
      </c>
      <c r="C96" s="4" t="s">
        <v>92</v>
      </c>
      <c r="D96" t="s">
        <v>690</v>
      </c>
      <c r="F96" s="7" t="s">
        <v>691</v>
      </c>
      <c r="G96" s="4" t="s">
        <v>692</v>
      </c>
      <c r="H96" s="1" t="s">
        <v>693</v>
      </c>
      <c r="I96" t="s">
        <v>694</v>
      </c>
      <c r="J96" s="1" t="s">
        <v>695</v>
      </c>
      <c r="K96" t="s">
        <v>696</v>
      </c>
      <c r="L96" t="s">
        <v>25</v>
      </c>
      <c r="M96" t="s">
        <v>88</v>
      </c>
      <c r="Q96" t="s">
        <v>697</v>
      </c>
    </row>
    <row r="97" spans="1:17" ht="72.5" x14ac:dyDescent="0.35">
      <c r="A97" t="s">
        <v>698</v>
      </c>
      <c r="B97" s="5">
        <v>35472</v>
      </c>
      <c r="C97" s="4" t="s">
        <v>65</v>
      </c>
      <c r="D97" t="s">
        <v>150</v>
      </c>
      <c r="F97" s="7" t="s">
        <v>151</v>
      </c>
      <c r="G97" s="4" t="s">
        <v>699</v>
      </c>
      <c r="H97" s="1" t="s">
        <v>700</v>
      </c>
      <c r="I97" t="s">
        <v>648</v>
      </c>
      <c r="J97" s="1" t="s">
        <v>701</v>
      </c>
      <c r="K97" t="s">
        <v>41</v>
      </c>
      <c r="L97" t="s">
        <v>25</v>
      </c>
      <c r="M97" t="s">
        <v>26</v>
      </c>
      <c r="Q97" t="s">
        <v>702</v>
      </c>
    </row>
    <row r="98" spans="1:17" ht="72.5" x14ac:dyDescent="0.35">
      <c r="A98" t="s">
        <v>703</v>
      </c>
      <c r="B98" s="4" t="s">
        <v>704</v>
      </c>
      <c r="C98" s="4" t="s">
        <v>65</v>
      </c>
      <c r="D98" t="s">
        <v>705</v>
      </c>
      <c r="E98" t="s">
        <v>705</v>
      </c>
      <c r="F98" s="7" t="s">
        <v>706</v>
      </c>
      <c r="H98" s="1" t="s">
        <v>707</v>
      </c>
      <c r="I98" t="s">
        <v>708</v>
      </c>
      <c r="J98" s="1" t="s">
        <v>709</v>
      </c>
      <c r="K98" t="s">
        <v>41</v>
      </c>
      <c r="L98" t="s">
        <v>25</v>
      </c>
      <c r="M98" t="s">
        <v>26</v>
      </c>
      <c r="Q98" t="s">
        <v>710</v>
      </c>
    </row>
    <row r="99" spans="1:17" ht="58" x14ac:dyDescent="0.35">
      <c r="A99" t="s">
        <v>711</v>
      </c>
      <c r="F99" s="7">
        <f>91-8141996720</f>
        <v>-8141996629</v>
      </c>
      <c r="G99" s="4" t="s">
        <v>712</v>
      </c>
      <c r="H99" s="1" t="s">
        <v>713</v>
      </c>
      <c r="I99" t="s">
        <v>103</v>
      </c>
      <c r="J99" s="1" t="s">
        <v>714</v>
      </c>
      <c r="K99" t="s">
        <v>41</v>
      </c>
      <c r="L99" t="s">
        <v>25</v>
      </c>
      <c r="Q99" t="s">
        <v>715</v>
      </c>
    </row>
    <row r="100" spans="1:17" ht="101.5" x14ac:dyDescent="0.35">
      <c r="A100" t="s">
        <v>716</v>
      </c>
      <c r="E100" t="s">
        <v>717</v>
      </c>
      <c r="F100" s="7">
        <v>7016758756</v>
      </c>
      <c r="G100" s="4" t="s">
        <v>718</v>
      </c>
      <c r="H100" s="1" t="s">
        <v>719</v>
      </c>
      <c r="I100" t="s">
        <v>128</v>
      </c>
      <c r="J100" s="1" t="s">
        <v>720</v>
      </c>
      <c r="K100" t="s">
        <v>268</v>
      </c>
      <c r="L100" t="s">
        <v>25</v>
      </c>
      <c r="Q100" t="s">
        <v>721</v>
      </c>
    </row>
    <row r="101" spans="1:17" ht="72.5" x14ac:dyDescent="0.35">
      <c r="F101" s="7"/>
      <c r="I101" t="s">
        <v>182</v>
      </c>
      <c r="J101" s="1" t="s">
        <v>722</v>
      </c>
      <c r="K101" t="s">
        <v>455</v>
      </c>
      <c r="L101" t="s">
        <v>456</v>
      </c>
      <c r="Q101" t="s">
        <v>723</v>
      </c>
    </row>
    <row r="102" spans="1:17" ht="409.5" x14ac:dyDescent="0.35">
      <c r="A102" t="s">
        <v>724</v>
      </c>
      <c r="D102" t="s">
        <v>725</v>
      </c>
      <c r="E102" t="s">
        <v>725</v>
      </c>
      <c r="F102" s="7">
        <v>9265654132</v>
      </c>
      <c r="G102" s="4" t="s">
        <v>726</v>
      </c>
      <c r="H102" s="1" t="s">
        <v>727</v>
      </c>
      <c r="I102" t="s">
        <v>728</v>
      </c>
      <c r="J102" s="1" t="s">
        <v>729</v>
      </c>
      <c r="K102" t="s">
        <v>336</v>
      </c>
      <c r="L102" t="s">
        <v>25</v>
      </c>
      <c r="Q102" t="s">
        <v>730</v>
      </c>
    </row>
    <row r="103" spans="1:17" ht="43.5" x14ac:dyDescent="0.35">
      <c r="A103" t="s">
        <v>731</v>
      </c>
      <c r="B103" s="4" t="s">
        <v>732</v>
      </c>
      <c r="E103" t="s">
        <v>733</v>
      </c>
      <c r="F103" s="7">
        <v>8431700713</v>
      </c>
      <c r="G103" s="4" t="s">
        <v>734</v>
      </c>
      <c r="H103" s="1" t="s">
        <v>735</v>
      </c>
      <c r="I103" t="s">
        <v>252</v>
      </c>
      <c r="J103" s="1" t="s">
        <v>736</v>
      </c>
      <c r="K103" t="s">
        <v>737</v>
      </c>
      <c r="L103" t="s">
        <v>738</v>
      </c>
      <c r="Q103" t="s">
        <v>739</v>
      </c>
    </row>
    <row r="104" spans="1:17" ht="43.5" x14ac:dyDescent="0.35">
      <c r="A104" t="s">
        <v>740</v>
      </c>
      <c r="B104" s="6">
        <v>36108</v>
      </c>
      <c r="C104" s="4" t="s">
        <v>92</v>
      </c>
      <c r="D104" t="s">
        <v>741</v>
      </c>
      <c r="F104" s="7" t="s">
        <v>742</v>
      </c>
      <c r="G104" s="4" t="s">
        <v>743</v>
      </c>
      <c r="I104" t="s">
        <v>128</v>
      </c>
      <c r="J104" s="1" t="s">
        <v>744</v>
      </c>
      <c r="K104" t="s">
        <v>745</v>
      </c>
      <c r="L104" t="s">
        <v>304</v>
      </c>
      <c r="M104" t="s">
        <v>26</v>
      </c>
      <c r="Q104" t="s">
        <v>746</v>
      </c>
    </row>
    <row r="105" spans="1:17" ht="101.5" x14ac:dyDescent="0.35">
      <c r="A105" t="s">
        <v>747</v>
      </c>
      <c r="D105" t="s">
        <v>748</v>
      </c>
      <c r="E105" t="s">
        <v>748</v>
      </c>
      <c r="F105" s="7">
        <v>9967885784</v>
      </c>
      <c r="G105" s="4" t="s">
        <v>749</v>
      </c>
      <c r="H105" s="1" t="s">
        <v>750</v>
      </c>
      <c r="I105" t="s">
        <v>751</v>
      </c>
      <c r="J105" s="1" t="s">
        <v>752</v>
      </c>
      <c r="K105" t="s">
        <v>753</v>
      </c>
      <c r="L105" t="s">
        <v>592</v>
      </c>
      <c r="Q105" t="s">
        <v>754</v>
      </c>
    </row>
    <row r="106" spans="1:17" ht="101.5" x14ac:dyDescent="0.35">
      <c r="A106" t="s">
        <v>755</v>
      </c>
      <c r="B106" s="4">
        <v>1091999</v>
      </c>
      <c r="C106" s="4" t="s">
        <v>65</v>
      </c>
      <c r="D106" t="s">
        <v>756</v>
      </c>
      <c r="F106" s="7">
        <v>9923865613</v>
      </c>
      <c r="G106" s="4" t="s">
        <v>757</v>
      </c>
      <c r="I106" t="s">
        <v>758</v>
      </c>
      <c r="J106" s="1" t="s">
        <v>759</v>
      </c>
      <c r="K106" t="s">
        <v>760</v>
      </c>
      <c r="L106" t="s">
        <v>592</v>
      </c>
      <c r="M106" t="s">
        <v>26</v>
      </c>
      <c r="Q106" t="s">
        <v>761</v>
      </c>
    </row>
    <row r="107" spans="1:17" ht="72.5" x14ac:dyDescent="0.35">
      <c r="A107" t="s">
        <v>762</v>
      </c>
      <c r="F107" s="7" t="s">
        <v>763</v>
      </c>
      <c r="G107" s="4" t="s">
        <v>764</v>
      </c>
      <c r="H107" s="1" t="s">
        <v>765</v>
      </c>
      <c r="I107" t="s">
        <v>766</v>
      </c>
      <c r="J107" s="1" t="s">
        <v>767</v>
      </c>
      <c r="Q107" t="s">
        <v>768</v>
      </c>
    </row>
    <row r="108" spans="1:17" ht="159.5" x14ac:dyDescent="0.35">
      <c r="A108" t="s">
        <v>769</v>
      </c>
      <c r="B108" s="6">
        <v>34963</v>
      </c>
      <c r="C108" s="4" t="s">
        <v>92</v>
      </c>
      <c r="D108" t="s">
        <v>770</v>
      </c>
      <c r="E108" t="s">
        <v>770</v>
      </c>
      <c r="F108" s="7" t="s">
        <v>771</v>
      </c>
      <c r="G108" s="4" t="s">
        <v>772</v>
      </c>
      <c r="H108" s="1" t="s">
        <v>773</v>
      </c>
      <c r="I108" t="s">
        <v>774</v>
      </c>
      <c r="J108" s="1" t="s">
        <v>775</v>
      </c>
      <c r="K108" t="s">
        <v>776</v>
      </c>
      <c r="L108" t="s">
        <v>592</v>
      </c>
      <c r="Q108" t="s">
        <v>777</v>
      </c>
    </row>
    <row r="109" spans="1:17" ht="101.5" x14ac:dyDescent="0.35">
      <c r="A109" t="s">
        <v>778</v>
      </c>
      <c r="B109" s="6">
        <v>36081</v>
      </c>
      <c r="D109" t="s">
        <v>779</v>
      </c>
      <c r="F109" s="7">
        <v>7678940272</v>
      </c>
      <c r="G109" s="4" t="s">
        <v>780</v>
      </c>
      <c r="H109" s="1" t="s">
        <v>781</v>
      </c>
      <c r="I109" t="s">
        <v>383</v>
      </c>
      <c r="J109" s="1" t="s">
        <v>782</v>
      </c>
      <c r="K109" t="s">
        <v>783</v>
      </c>
      <c r="L109" t="s">
        <v>376</v>
      </c>
      <c r="M109" t="s">
        <v>26</v>
      </c>
      <c r="Q109" t="s">
        <v>784</v>
      </c>
    </row>
    <row r="110" spans="1:17" ht="217.5" x14ac:dyDescent="0.35">
      <c r="A110" t="s">
        <v>785</v>
      </c>
      <c r="D110" t="s">
        <v>786</v>
      </c>
      <c r="E110" t="s">
        <v>786</v>
      </c>
      <c r="F110" s="7">
        <v>9867145196</v>
      </c>
      <c r="G110" s="4" t="s">
        <v>787</v>
      </c>
      <c r="H110" s="1" t="s">
        <v>788</v>
      </c>
      <c r="I110" t="s">
        <v>789</v>
      </c>
      <c r="J110" s="1" t="s">
        <v>790</v>
      </c>
      <c r="K110" t="s">
        <v>753</v>
      </c>
      <c r="L110" t="s">
        <v>592</v>
      </c>
      <c r="Q110" t="s">
        <v>791</v>
      </c>
    </row>
    <row r="111" spans="1:17" ht="217.5" x14ac:dyDescent="0.35">
      <c r="A111" t="s">
        <v>792</v>
      </c>
      <c r="B111" s="5">
        <v>34336</v>
      </c>
      <c r="D111" t="s">
        <v>793</v>
      </c>
      <c r="E111" t="s">
        <v>793</v>
      </c>
      <c r="F111" s="7">
        <f>91-9758163004</f>
        <v>-9758162913</v>
      </c>
      <c r="G111" s="4" t="s">
        <v>794</v>
      </c>
      <c r="H111" s="1" t="s">
        <v>795</v>
      </c>
      <c r="I111" t="s">
        <v>796</v>
      </c>
      <c r="J111" s="1" t="s">
        <v>797</v>
      </c>
      <c r="K111" t="s">
        <v>798</v>
      </c>
      <c r="L111" t="s">
        <v>87</v>
      </c>
      <c r="Q111" t="s">
        <v>799</v>
      </c>
    </row>
    <row r="112" spans="1:17" ht="29" x14ac:dyDescent="0.35">
      <c r="A112" t="s">
        <v>800</v>
      </c>
      <c r="B112" s="4" t="s">
        <v>801</v>
      </c>
      <c r="D112" t="s">
        <v>802</v>
      </c>
      <c r="F112" s="7">
        <v>6294649176</v>
      </c>
      <c r="G112" s="4" t="s">
        <v>803</v>
      </c>
      <c r="J112" s="1" t="s">
        <v>804</v>
      </c>
      <c r="K112" t="s">
        <v>805</v>
      </c>
      <c r="L112" t="s">
        <v>447</v>
      </c>
      <c r="Q112" t="s">
        <v>806</v>
      </c>
    </row>
    <row r="113" spans="1:17" ht="58" x14ac:dyDescent="0.35">
      <c r="A113" t="s">
        <v>807</v>
      </c>
      <c r="D113" t="s">
        <v>808</v>
      </c>
      <c r="E113" t="s">
        <v>808</v>
      </c>
      <c r="F113" s="7">
        <v>8390958469</v>
      </c>
      <c r="G113" s="4" t="s">
        <v>809</v>
      </c>
      <c r="H113" s="1" t="s">
        <v>810</v>
      </c>
      <c r="I113" t="s">
        <v>103</v>
      </c>
      <c r="J113" s="1" t="s">
        <v>811</v>
      </c>
      <c r="K113" t="s">
        <v>812</v>
      </c>
      <c r="L113" t="s">
        <v>592</v>
      </c>
      <c r="Q113" t="s">
        <v>813</v>
      </c>
    </row>
    <row r="114" spans="1:17" ht="101.5" x14ac:dyDescent="0.35">
      <c r="A114" t="s">
        <v>814</v>
      </c>
      <c r="B114" s="4" t="s">
        <v>815</v>
      </c>
      <c r="D114" t="s">
        <v>816</v>
      </c>
      <c r="F114" s="7">
        <v>9694660579</v>
      </c>
      <c r="G114" s="4" t="s">
        <v>817</v>
      </c>
      <c r="H114" s="1" t="s">
        <v>818</v>
      </c>
      <c r="I114" t="s">
        <v>607</v>
      </c>
      <c r="J114" s="1" t="s">
        <v>819</v>
      </c>
      <c r="K114" t="s">
        <v>820</v>
      </c>
      <c r="L114" t="s">
        <v>304</v>
      </c>
      <c r="Q114" t="s">
        <v>821</v>
      </c>
    </row>
    <row r="115" spans="1:17" ht="217.5" x14ac:dyDescent="0.35">
      <c r="A115" t="s">
        <v>822</v>
      </c>
      <c r="D115" t="s">
        <v>823</v>
      </c>
      <c r="E115" t="s">
        <v>823</v>
      </c>
      <c r="F115" s="7">
        <v>9623973218</v>
      </c>
      <c r="G115" s="4" t="s">
        <v>824</v>
      </c>
      <c r="H115" s="1" t="s">
        <v>825</v>
      </c>
      <c r="I115" t="s">
        <v>826</v>
      </c>
      <c r="J115" s="1" t="s">
        <v>827</v>
      </c>
      <c r="K115" t="s">
        <v>828</v>
      </c>
      <c r="L115" t="s">
        <v>25</v>
      </c>
      <c r="Q115" t="s">
        <v>829</v>
      </c>
    </row>
    <row r="116" spans="1:17" ht="145" x14ac:dyDescent="0.35">
      <c r="A116" t="s">
        <v>830</v>
      </c>
      <c r="B116" s="6">
        <v>35623</v>
      </c>
      <c r="C116" s="4" t="s">
        <v>92</v>
      </c>
      <c r="D116" t="s">
        <v>831</v>
      </c>
      <c r="E116" t="s">
        <v>831</v>
      </c>
      <c r="F116" s="7">
        <v>9284646171</v>
      </c>
      <c r="G116" s="4" t="s">
        <v>832</v>
      </c>
      <c r="H116" s="1" t="s">
        <v>833</v>
      </c>
      <c r="I116" t="s">
        <v>834</v>
      </c>
      <c r="J116" s="1" t="s">
        <v>835</v>
      </c>
      <c r="K116" t="s">
        <v>836</v>
      </c>
      <c r="L116" t="s">
        <v>592</v>
      </c>
      <c r="M116" t="s">
        <v>418</v>
      </c>
      <c r="Q116" t="s">
        <v>837</v>
      </c>
    </row>
    <row r="117" spans="1:17" ht="159.5" x14ac:dyDescent="0.35">
      <c r="A117" t="s">
        <v>838</v>
      </c>
      <c r="B117" s="4" t="s">
        <v>839</v>
      </c>
      <c r="C117" s="4" t="s">
        <v>158</v>
      </c>
      <c r="D117" t="s">
        <v>840</v>
      </c>
      <c r="F117" s="7">
        <v>7905563515</v>
      </c>
      <c r="G117" s="4" t="s">
        <v>841</v>
      </c>
      <c r="I117" t="s">
        <v>842</v>
      </c>
      <c r="J117" s="1" t="s">
        <v>843</v>
      </c>
      <c r="K117" t="s">
        <v>844</v>
      </c>
      <c r="L117" t="s">
        <v>113</v>
      </c>
      <c r="M117" t="s">
        <v>61</v>
      </c>
      <c r="Q117" t="s">
        <v>845</v>
      </c>
    </row>
    <row r="118" spans="1:17" ht="145" x14ac:dyDescent="0.35">
      <c r="A118" t="s">
        <v>846</v>
      </c>
      <c r="D118" t="s">
        <v>847</v>
      </c>
      <c r="E118" t="s">
        <v>847</v>
      </c>
      <c r="F118" s="7">
        <v>918908768226</v>
      </c>
      <c r="G118" s="4" t="s">
        <v>848</v>
      </c>
      <c r="H118" s="1" t="s">
        <v>849</v>
      </c>
      <c r="I118" t="s">
        <v>850</v>
      </c>
      <c r="J118" s="1" t="s">
        <v>851</v>
      </c>
      <c r="K118" t="s">
        <v>852</v>
      </c>
      <c r="L118" t="s">
        <v>853</v>
      </c>
      <c r="Q118" t="s">
        <v>854</v>
      </c>
    </row>
    <row r="119" spans="1:17" ht="58" x14ac:dyDescent="0.35">
      <c r="A119" t="s">
        <v>855</v>
      </c>
      <c r="B119" s="4" t="s">
        <v>856</v>
      </c>
      <c r="C119" s="4" t="s">
        <v>92</v>
      </c>
      <c r="D119" t="s">
        <v>857</v>
      </c>
      <c r="E119" t="s">
        <v>858</v>
      </c>
      <c r="F119" s="7">
        <f>91-7447836646</f>
        <v>-7447836555</v>
      </c>
      <c r="G119" s="4" t="s">
        <v>859</v>
      </c>
      <c r="I119" t="s">
        <v>128</v>
      </c>
      <c r="J119" s="1" t="s">
        <v>860</v>
      </c>
      <c r="K119" t="s">
        <v>861</v>
      </c>
      <c r="L119" t="s">
        <v>592</v>
      </c>
      <c r="M119" t="s">
        <v>418</v>
      </c>
      <c r="Q119" t="s">
        <v>862</v>
      </c>
    </row>
    <row r="120" spans="1:17" ht="58" x14ac:dyDescent="0.35">
      <c r="A120" t="s">
        <v>863</v>
      </c>
      <c r="B120" s="4" t="s">
        <v>864</v>
      </c>
      <c r="C120" s="4" t="s">
        <v>45</v>
      </c>
      <c r="D120" t="s">
        <v>865</v>
      </c>
      <c r="F120" s="7">
        <v>9199189456</v>
      </c>
      <c r="G120" s="4" t="s">
        <v>866</v>
      </c>
      <c r="H120" s="1" t="s">
        <v>867</v>
      </c>
      <c r="I120" t="s">
        <v>287</v>
      </c>
      <c r="J120" s="1" t="s">
        <v>868</v>
      </c>
      <c r="K120" t="s">
        <v>455</v>
      </c>
      <c r="L120" t="s">
        <v>456</v>
      </c>
      <c r="M120" t="s">
        <v>61</v>
      </c>
      <c r="Q120" t="s">
        <v>869</v>
      </c>
    </row>
    <row r="121" spans="1:17" ht="174" x14ac:dyDescent="0.35">
      <c r="A121" t="s">
        <v>870</v>
      </c>
      <c r="E121" t="s">
        <v>871</v>
      </c>
      <c r="F121" s="7">
        <v>7977532488</v>
      </c>
      <c r="G121" s="4" t="s">
        <v>872</v>
      </c>
      <c r="H121" s="1" t="s">
        <v>873</v>
      </c>
      <c r="I121" t="s">
        <v>874</v>
      </c>
      <c r="J121" s="1" t="s">
        <v>875</v>
      </c>
      <c r="K121" t="s">
        <v>591</v>
      </c>
      <c r="L121" t="s">
        <v>592</v>
      </c>
      <c r="Q121" t="s">
        <v>876</v>
      </c>
    </row>
    <row r="122" spans="1:17" ht="58" x14ac:dyDescent="0.35">
      <c r="A122" t="s">
        <v>877</v>
      </c>
      <c r="E122" t="s">
        <v>878</v>
      </c>
      <c r="F122" s="7">
        <f>91-7455862549</f>
        <v>-7455862458</v>
      </c>
      <c r="G122" s="4" t="s">
        <v>879</v>
      </c>
      <c r="H122" s="1" t="s">
        <v>880</v>
      </c>
      <c r="I122" t="s">
        <v>881</v>
      </c>
      <c r="J122" s="1" t="s">
        <v>882</v>
      </c>
      <c r="K122" t="s">
        <v>878</v>
      </c>
      <c r="L122" t="s">
        <v>883</v>
      </c>
      <c r="Q122" t="s">
        <v>884</v>
      </c>
    </row>
    <row r="123" spans="1:17" ht="203" x14ac:dyDescent="0.35">
      <c r="A123" t="s">
        <v>885</v>
      </c>
      <c r="E123" t="s">
        <v>886</v>
      </c>
      <c r="F123" s="7" t="s">
        <v>887</v>
      </c>
      <c r="G123" s="4" t="s">
        <v>888</v>
      </c>
      <c r="H123" s="1" t="s">
        <v>889</v>
      </c>
      <c r="I123" t="s">
        <v>890</v>
      </c>
      <c r="J123" s="1" t="s">
        <v>891</v>
      </c>
      <c r="K123" t="s">
        <v>892</v>
      </c>
      <c r="L123" t="s">
        <v>592</v>
      </c>
      <c r="Q123" t="s">
        <v>893</v>
      </c>
    </row>
    <row r="124" spans="1:17" ht="101.5" x14ac:dyDescent="0.35">
      <c r="A124" t="s">
        <v>894</v>
      </c>
      <c r="B124" s="4" t="s">
        <v>895</v>
      </c>
      <c r="D124" t="s">
        <v>896</v>
      </c>
      <c r="E124" t="s">
        <v>896</v>
      </c>
      <c r="F124" s="7">
        <v>8452863620</v>
      </c>
      <c r="G124" s="4" t="s">
        <v>897</v>
      </c>
      <c r="H124" s="1" t="s">
        <v>898</v>
      </c>
      <c r="I124" t="s">
        <v>103</v>
      </c>
      <c r="J124" s="1" t="s">
        <v>899</v>
      </c>
      <c r="K124" t="s">
        <v>753</v>
      </c>
      <c r="L124" t="s">
        <v>592</v>
      </c>
      <c r="Q124" t="s">
        <v>900</v>
      </c>
    </row>
    <row r="125" spans="1:17" ht="101.5" x14ac:dyDescent="0.35">
      <c r="A125" t="s">
        <v>901</v>
      </c>
      <c r="E125" t="s">
        <v>902</v>
      </c>
      <c r="F125" s="7">
        <v>8169134238</v>
      </c>
      <c r="G125" s="4" t="s">
        <v>903</v>
      </c>
      <c r="H125" s="1" t="s">
        <v>904</v>
      </c>
      <c r="I125">
        <v>0</v>
      </c>
      <c r="J125" s="1" t="s">
        <v>905</v>
      </c>
      <c r="K125" t="s">
        <v>892</v>
      </c>
      <c r="L125" t="s">
        <v>592</v>
      </c>
      <c r="Q125" t="s">
        <v>906</v>
      </c>
    </row>
    <row r="126" spans="1:17" ht="43.5" x14ac:dyDescent="0.35">
      <c r="A126" t="s">
        <v>907</v>
      </c>
      <c r="B126" s="4" t="s">
        <v>908</v>
      </c>
      <c r="C126" s="4" t="s">
        <v>92</v>
      </c>
      <c r="D126" t="s">
        <v>909</v>
      </c>
      <c r="E126" t="s">
        <v>910</v>
      </c>
      <c r="F126" s="7">
        <v>9122514095</v>
      </c>
      <c r="G126" s="4" t="s">
        <v>911</v>
      </c>
      <c r="I126" t="s">
        <v>912</v>
      </c>
      <c r="J126" s="1" t="s">
        <v>913</v>
      </c>
      <c r="K126" t="s">
        <v>914</v>
      </c>
      <c r="L126" t="s">
        <v>456</v>
      </c>
      <c r="M126" t="s">
        <v>26</v>
      </c>
      <c r="Q126" t="s">
        <v>915</v>
      </c>
    </row>
    <row r="127" spans="1:17" ht="159.5" x14ac:dyDescent="0.35">
      <c r="A127" t="s">
        <v>916</v>
      </c>
      <c r="B127" s="5">
        <v>37105</v>
      </c>
      <c r="C127" s="4" t="s">
        <v>65</v>
      </c>
      <c r="D127" t="s">
        <v>917</v>
      </c>
      <c r="E127" t="s">
        <v>917</v>
      </c>
      <c r="F127" s="7">
        <v>8080347949</v>
      </c>
      <c r="G127" s="4" t="s">
        <v>918</v>
      </c>
      <c r="H127" s="1" t="s">
        <v>919</v>
      </c>
      <c r="I127" t="s">
        <v>103</v>
      </c>
      <c r="J127" s="1" t="s">
        <v>920</v>
      </c>
      <c r="K127" t="s">
        <v>921</v>
      </c>
      <c r="L127" t="s">
        <v>592</v>
      </c>
      <c r="Q127" t="s">
        <v>922</v>
      </c>
    </row>
    <row r="128" spans="1:17" ht="217.5" x14ac:dyDescent="0.35">
      <c r="A128" t="s">
        <v>923</v>
      </c>
      <c r="B128" s="4" t="s">
        <v>924</v>
      </c>
      <c r="F128" s="7"/>
      <c r="H128" s="1" t="s">
        <v>925</v>
      </c>
      <c r="I128" t="s">
        <v>926</v>
      </c>
      <c r="J128" s="1" t="s">
        <v>927</v>
      </c>
      <c r="K128" t="s">
        <v>491</v>
      </c>
      <c r="L128" t="s">
        <v>25</v>
      </c>
      <c r="Q128" t="s">
        <v>928</v>
      </c>
    </row>
    <row r="129" spans="1:17" ht="72.5" x14ac:dyDescent="0.35">
      <c r="A129" t="s">
        <v>929</v>
      </c>
      <c r="B129" s="4" t="s">
        <v>930</v>
      </c>
      <c r="C129" s="4" t="s">
        <v>65</v>
      </c>
      <c r="D129" t="s">
        <v>931</v>
      </c>
      <c r="E129" t="s">
        <v>932</v>
      </c>
      <c r="F129" s="7" t="s">
        <v>933</v>
      </c>
      <c r="G129" s="4" t="s">
        <v>934</v>
      </c>
      <c r="H129" s="1" t="s">
        <v>935</v>
      </c>
      <c r="I129" t="s">
        <v>936</v>
      </c>
      <c r="J129" s="1" t="s">
        <v>937</v>
      </c>
      <c r="K129" t="s">
        <v>938</v>
      </c>
      <c r="L129" t="s">
        <v>853</v>
      </c>
      <c r="M129" t="s">
        <v>418</v>
      </c>
      <c r="Q129" t="s">
        <v>939</v>
      </c>
    </row>
    <row r="130" spans="1:17" ht="101.5" x14ac:dyDescent="0.35">
      <c r="A130" t="s">
        <v>940</v>
      </c>
      <c r="B130" s="5">
        <v>36620</v>
      </c>
      <c r="C130" s="4" t="s">
        <v>141</v>
      </c>
      <c r="D130" t="s">
        <v>941</v>
      </c>
      <c r="F130" s="7">
        <v>8108201289</v>
      </c>
      <c r="G130" s="4" t="s">
        <v>942</v>
      </c>
      <c r="H130" s="1" t="s">
        <v>943</v>
      </c>
      <c r="I130" t="s">
        <v>944</v>
      </c>
      <c r="J130" s="1" t="s">
        <v>945</v>
      </c>
      <c r="K130" t="s">
        <v>892</v>
      </c>
      <c r="L130" t="s">
        <v>592</v>
      </c>
      <c r="M130" t="s">
        <v>26</v>
      </c>
      <c r="Q130" t="s">
        <v>946</v>
      </c>
    </row>
    <row r="131" spans="1:17" ht="130.5" x14ac:dyDescent="0.35">
      <c r="A131" t="s">
        <v>947</v>
      </c>
      <c r="B131" s="5">
        <v>36895</v>
      </c>
      <c r="D131" t="s">
        <v>948</v>
      </c>
      <c r="E131" t="s">
        <v>948</v>
      </c>
      <c r="F131" s="7">
        <v>7039478852</v>
      </c>
      <c r="G131" s="4" t="s">
        <v>949</v>
      </c>
      <c r="H131" s="1" t="s">
        <v>950</v>
      </c>
      <c r="I131" t="s">
        <v>483</v>
      </c>
      <c r="J131" s="1" t="s">
        <v>951</v>
      </c>
      <c r="K131" t="s">
        <v>892</v>
      </c>
      <c r="L131" t="s">
        <v>592</v>
      </c>
      <c r="M131" t="s">
        <v>418</v>
      </c>
      <c r="Q131" t="s">
        <v>952</v>
      </c>
    </row>
    <row r="132" spans="1:17" ht="159.5" x14ac:dyDescent="0.35">
      <c r="A132" t="s">
        <v>953</v>
      </c>
      <c r="D132" t="s">
        <v>954</v>
      </c>
      <c r="F132" s="7" t="s">
        <v>955</v>
      </c>
      <c r="G132" s="4" t="s">
        <v>956</v>
      </c>
      <c r="H132" s="1" t="s">
        <v>957</v>
      </c>
      <c r="I132" t="s">
        <v>912</v>
      </c>
      <c r="J132" s="1" t="s">
        <v>958</v>
      </c>
      <c r="K132" t="s">
        <v>959</v>
      </c>
      <c r="L132" t="s">
        <v>592</v>
      </c>
      <c r="M132" t="s">
        <v>26</v>
      </c>
      <c r="Q132" t="s">
        <v>960</v>
      </c>
    </row>
    <row r="133" spans="1:17" ht="145" x14ac:dyDescent="0.35">
      <c r="A133" t="s">
        <v>961</v>
      </c>
      <c r="B133" s="4" t="s">
        <v>962</v>
      </c>
      <c r="C133" s="4" t="s">
        <v>65</v>
      </c>
      <c r="D133" t="s">
        <v>963</v>
      </c>
      <c r="E133" t="s">
        <v>964</v>
      </c>
      <c r="F133" s="7">
        <v>918698737587</v>
      </c>
      <c r="G133" s="4" t="s">
        <v>965</v>
      </c>
      <c r="H133" s="1" t="s">
        <v>966</v>
      </c>
      <c r="I133" t="s">
        <v>967</v>
      </c>
      <c r="J133" s="1" t="s">
        <v>968</v>
      </c>
      <c r="K133" t="s">
        <v>969</v>
      </c>
      <c r="L133" t="s">
        <v>592</v>
      </c>
      <c r="Q133" t="s">
        <v>970</v>
      </c>
    </row>
    <row r="134" spans="1:17" ht="101.5" x14ac:dyDescent="0.35">
      <c r="A134" t="s">
        <v>971</v>
      </c>
      <c r="E134" t="s">
        <v>892</v>
      </c>
      <c r="F134" s="7" t="s">
        <v>972</v>
      </c>
      <c r="G134" s="4" t="s">
        <v>973</v>
      </c>
      <c r="H134" s="1" t="s">
        <v>974</v>
      </c>
      <c r="I134" t="s">
        <v>103</v>
      </c>
      <c r="J134" s="1" t="s">
        <v>975</v>
      </c>
      <c r="K134" t="s">
        <v>753</v>
      </c>
      <c r="L134" t="s">
        <v>592</v>
      </c>
      <c r="Q134" t="s">
        <v>976</v>
      </c>
    </row>
    <row r="135" spans="1:17" ht="232" x14ac:dyDescent="0.35">
      <c r="A135" t="s">
        <v>977</v>
      </c>
      <c r="E135" t="s">
        <v>978</v>
      </c>
      <c r="F135" s="7" t="s">
        <v>979</v>
      </c>
      <c r="G135" s="4" t="s">
        <v>980</v>
      </c>
      <c r="H135" s="1" t="s">
        <v>981</v>
      </c>
      <c r="I135" t="s">
        <v>982</v>
      </c>
      <c r="J135" s="1" t="s">
        <v>983</v>
      </c>
      <c r="K135" t="s">
        <v>984</v>
      </c>
      <c r="L135" t="s">
        <v>883</v>
      </c>
      <c r="Q135" t="s">
        <v>985</v>
      </c>
    </row>
    <row r="136" spans="1:17" ht="58" x14ac:dyDescent="0.35">
      <c r="A136" t="s">
        <v>986</v>
      </c>
      <c r="D136" t="s">
        <v>987</v>
      </c>
      <c r="E136" t="s">
        <v>987</v>
      </c>
      <c r="F136" s="7">
        <v>919007061445</v>
      </c>
      <c r="G136" s="4" t="s">
        <v>988</v>
      </c>
      <c r="H136" s="1" t="s">
        <v>989</v>
      </c>
      <c r="I136" t="s">
        <v>990</v>
      </c>
      <c r="J136" s="1" t="s">
        <v>991</v>
      </c>
      <c r="K136" t="s">
        <v>992</v>
      </c>
      <c r="L136" t="s">
        <v>447</v>
      </c>
      <c r="Q136" t="s">
        <v>993</v>
      </c>
    </row>
    <row r="137" spans="1:17" ht="101.5" x14ac:dyDescent="0.35">
      <c r="A137" t="s">
        <v>994</v>
      </c>
      <c r="D137" t="s">
        <v>995</v>
      </c>
      <c r="E137" t="s">
        <v>995</v>
      </c>
      <c r="F137" s="7" t="s">
        <v>996</v>
      </c>
      <c r="G137" s="4" t="s">
        <v>997</v>
      </c>
      <c r="H137" s="1" t="s">
        <v>998</v>
      </c>
      <c r="I137" t="s">
        <v>483</v>
      </c>
      <c r="J137" s="1" t="s">
        <v>999</v>
      </c>
      <c r="K137" t="s">
        <v>1000</v>
      </c>
      <c r="L137" t="s">
        <v>87</v>
      </c>
      <c r="Q137" t="s">
        <v>1001</v>
      </c>
    </row>
    <row r="138" spans="1:17" ht="58" x14ac:dyDescent="0.35">
      <c r="A138" t="s">
        <v>1002</v>
      </c>
      <c r="E138" t="s">
        <v>1003</v>
      </c>
      <c r="F138" s="7">
        <f>91-8105841433</f>
        <v>-8105841342</v>
      </c>
      <c r="G138" s="4" t="s">
        <v>1004</v>
      </c>
      <c r="I138" t="s">
        <v>1005</v>
      </c>
      <c r="J138" s="1" t="s">
        <v>1006</v>
      </c>
      <c r="K138" t="s">
        <v>1007</v>
      </c>
      <c r="L138" t="s">
        <v>738</v>
      </c>
      <c r="P138" t="s">
        <v>1003</v>
      </c>
      <c r="Q138" t="s">
        <v>1008</v>
      </c>
    </row>
    <row r="139" spans="1:17" ht="409.5" x14ac:dyDescent="0.35">
      <c r="A139" t="s">
        <v>1009</v>
      </c>
      <c r="E139" t="s">
        <v>1010</v>
      </c>
      <c r="F139" s="7" t="s">
        <v>1011</v>
      </c>
      <c r="G139" s="4" t="s">
        <v>1012</v>
      </c>
      <c r="H139" s="1" t="s">
        <v>1013</v>
      </c>
      <c r="I139" t="s">
        <v>1014</v>
      </c>
      <c r="J139" s="1" t="s">
        <v>1015</v>
      </c>
      <c r="K139" t="s">
        <v>753</v>
      </c>
      <c r="L139" t="s">
        <v>592</v>
      </c>
      <c r="Q139" t="s">
        <v>1016</v>
      </c>
    </row>
    <row r="140" spans="1:17" ht="72.5" x14ac:dyDescent="0.35">
      <c r="A140" t="s">
        <v>1017</v>
      </c>
      <c r="E140" t="s">
        <v>1018</v>
      </c>
      <c r="F140" s="7">
        <f>91-9811213228</f>
        <v>-9811213137</v>
      </c>
      <c r="G140" s="4" t="s">
        <v>1019</v>
      </c>
      <c r="H140" s="1" t="s">
        <v>1020</v>
      </c>
      <c r="I140" t="s">
        <v>967</v>
      </c>
      <c r="J140" s="1" t="s">
        <v>1021</v>
      </c>
      <c r="K140" t="s">
        <v>883</v>
      </c>
      <c r="L140" t="s">
        <v>883</v>
      </c>
      <c r="Q140" t="s">
        <v>1022</v>
      </c>
    </row>
    <row r="141" spans="1:17" ht="333.5" x14ac:dyDescent="0.35">
      <c r="A141" t="s">
        <v>1023</v>
      </c>
      <c r="E141" t="s">
        <v>1024</v>
      </c>
      <c r="F141" s="7">
        <v>919951113219</v>
      </c>
      <c r="G141" s="4" t="s">
        <v>1025</v>
      </c>
      <c r="H141" s="1" t="s">
        <v>1026</v>
      </c>
      <c r="I141" t="s">
        <v>1027</v>
      </c>
      <c r="J141" s="1" t="s">
        <v>1028</v>
      </c>
      <c r="K141" t="s">
        <v>1029</v>
      </c>
      <c r="L141" t="s">
        <v>1030</v>
      </c>
      <c r="Q141" t="s">
        <v>1031</v>
      </c>
    </row>
    <row r="142" spans="1:17" ht="58" x14ac:dyDescent="0.35">
      <c r="A142" t="s">
        <v>1032</v>
      </c>
      <c r="B142" s="4" t="s">
        <v>1033</v>
      </c>
      <c r="C142" s="4" t="s">
        <v>141</v>
      </c>
      <c r="D142" t="s">
        <v>1034</v>
      </c>
      <c r="F142" s="7">
        <v>919638112964</v>
      </c>
      <c r="G142" s="4" t="s">
        <v>1035</v>
      </c>
      <c r="H142" s="1" t="s">
        <v>1036</v>
      </c>
      <c r="I142" t="s">
        <v>1037</v>
      </c>
      <c r="J142" s="1" t="s">
        <v>1038</v>
      </c>
      <c r="K142" t="s">
        <v>336</v>
      </c>
      <c r="L142" t="s">
        <v>25</v>
      </c>
      <c r="Q142" t="s">
        <v>1039</v>
      </c>
    </row>
    <row r="143" spans="1:17" ht="261" x14ac:dyDescent="0.35">
      <c r="A143" t="s">
        <v>1040</v>
      </c>
      <c r="C143" s="4" t="s">
        <v>92</v>
      </c>
      <c r="F143" s="7">
        <v>9586920057</v>
      </c>
      <c r="G143" s="4" t="s">
        <v>1041</v>
      </c>
      <c r="H143" s="1" t="s">
        <v>1042</v>
      </c>
      <c r="I143" t="s">
        <v>1043</v>
      </c>
      <c r="J143" s="1" t="s">
        <v>1044</v>
      </c>
      <c r="M143" t="s">
        <v>418</v>
      </c>
      <c r="Q143" t="s">
        <v>1045</v>
      </c>
    </row>
    <row r="144" spans="1:17" ht="43.5" x14ac:dyDescent="0.35">
      <c r="A144" t="s">
        <v>1046</v>
      </c>
      <c r="D144" t="s">
        <v>1047</v>
      </c>
      <c r="F144" s="7" t="s">
        <v>1048</v>
      </c>
      <c r="G144" s="4" t="s">
        <v>1049</v>
      </c>
      <c r="I144" t="s">
        <v>287</v>
      </c>
      <c r="J144" s="1" t="s">
        <v>1050</v>
      </c>
      <c r="K144" t="s">
        <v>992</v>
      </c>
      <c r="L144" t="s">
        <v>447</v>
      </c>
      <c r="Q144" t="s">
        <v>1051</v>
      </c>
    </row>
    <row r="145" spans="1:17" ht="130.5" x14ac:dyDescent="0.35">
      <c r="A145" t="s">
        <v>1052</v>
      </c>
      <c r="F145" s="7">
        <f>91-9677231499</f>
        <v>-9677231408</v>
      </c>
      <c r="G145" s="4" t="s">
        <v>1053</v>
      </c>
      <c r="H145" s="1" t="s">
        <v>1054</v>
      </c>
      <c r="I145" t="s">
        <v>1055</v>
      </c>
      <c r="J145" s="1" t="s">
        <v>1056</v>
      </c>
      <c r="Q145" t="s">
        <v>1057</v>
      </c>
    </row>
    <row r="146" spans="1:17" ht="130.5" x14ac:dyDescent="0.35">
      <c r="A146" t="s">
        <v>1058</v>
      </c>
      <c r="E146" t="s">
        <v>1059</v>
      </c>
      <c r="F146" s="7">
        <f>91- 7224953383</f>
        <v>-7224953292</v>
      </c>
      <c r="G146" s="4" t="s">
        <v>1060</v>
      </c>
      <c r="I146">
        <v>0</v>
      </c>
      <c r="J146" s="1" t="s">
        <v>1061</v>
      </c>
      <c r="K146" t="s">
        <v>1003</v>
      </c>
      <c r="L146" t="s">
        <v>738</v>
      </c>
      <c r="Q146" t="s">
        <v>1062</v>
      </c>
    </row>
    <row r="147" spans="1:17" ht="72.5" x14ac:dyDescent="0.35">
      <c r="A147" t="s">
        <v>1063</v>
      </c>
      <c r="F147" s="7">
        <v>7242000062</v>
      </c>
      <c r="G147" s="4" t="s">
        <v>1064</v>
      </c>
      <c r="H147" s="1" t="s">
        <v>1065</v>
      </c>
      <c r="I147" t="s">
        <v>453</v>
      </c>
      <c r="J147" s="1" t="s">
        <v>1066</v>
      </c>
      <c r="K147" t="s">
        <v>1067</v>
      </c>
      <c r="L147" t="s">
        <v>738</v>
      </c>
      <c r="Q147" t="s">
        <v>1068</v>
      </c>
    </row>
    <row r="148" spans="1:17" ht="58" x14ac:dyDescent="0.35">
      <c r="A148" t="s">
        <v>1069</v>
      </c>
      <c r="F148" s="7">
        <f>91-9760207485</f>
        <v>-9760207394</v>
      </c>
      <c r="G148" s="4" t="s">
        <v>1070</v>
      </c>
      <c r="H148" s="1" t="s">
        <v>1071</v>
      </c>
      <c r="I148" t="s">
        <v>1072</v>
      </c>
      <c r="J148" s="1" t="s">
        <v>1073</v>
      </c>
      <c r="K148" t="s">
        <v>1074</v>
      </c>
      <c r="L148" t="s">
        <v>1075</v>
      </c>
      <c r="Q148" t="s">
        <v>1076</v>
      </c>
    </row>
    <row r="149" spans="1:17" ht="116" x14ac:dyDescent="0.35">
      <c r="A149" t="s">
        <v>1077</v>
      </c>
      <c r="B149" s="4" t="s">
        <v>1078</v>
      </c>
      <c r="C149" s="4" t="s">
        <v>92</v>
      </c>
      <c r="D149" t="s">
        <v>1079</v>
      </c>
      <c r="E149" t="s">
        <v>1080</v>
      </c>
      <c r="F149" s="7" t="s">
        <v>1081</v>
      </c>
      <c r="G149" s="4" t="s">
        <v>1082</v>
      </c>
      <c r="I149" t="s">
        <v>465</v>
      </c>
      <c r="J149" s="1" t="s">
        <v>1083</v>
      </c>
      <c r="K149" t="s">
        <v>1084</v>
      </c>
      <c r="L149" t="s">
        <v>592</v>
      </c>
      <c r="Q149" t="s">
        <v>1085</v>
      </c>
    </row>
    <row r="150" spans="1:17" ht="174" x14ac:dyDescent="0.35">
      <c r="A150" t="s">
        <v>1086</v>
      </c>
      <c r="F150" s="7">
        <v>9867217969</v>
      </c>
      <c r="G150" s="4" t="s">
        <v>1087</v>
      </c>
      <c r="H150" s="1" t="s">
        <v>1088</v>
      </c>
      <c r="I150" t="s">
        <v>990</v>
      </c>
      <c r="J150" s="1" t="s">
        <v>1089</v>
      </c>
      <c r="Q150" t="s">
        <v>1090</v>
      </c>
    </row>
    <row r="151" spans="1:17" ht="130.5" x14ac:dyDescent="0.35">
      <c r="A151" t="s">
        <v>1091</v>
      </c>
      <c r="D151" t="s">
        <v>1092</v>
      </c>
      <c r="E151" t="s">
        <v>1092</v>
      </c>
      <c r="F151" s="7">
        <v>7984813308</v>
      </c>
      <c r="G151" s="4" t="s">
        <v>1093</v>
      </c>
      <c r="H151" s="1" t="s">
        <v>1094</v>
      </c>
      <c r="I151" t="s">
        <v>39</v>
      </c>
      <c r="J151" s="1" t="s">
        <v>1095</v>
      </c>
      <c r="K151" t="s">
        <v>336</v>
      </c>
      <c r="L151" t="s">
        <v>25</v>
      </c>
      <c r="Q151" t="s">
        <v>1096</v>
      </c>
    </row>
    <row r="152" spans="1:17" ht="58" x14ac:dyDescent="0.35">
      <c r="A152" t="s">
        <v>1097</v>
      </c>
      <c r="E152" t="s">
        <v>1098</v>
      </c>
      <c r="F152" s="7" t="s">
        <v>1099</v>
      </c>
      <c r="G152" s="4" t="s">
        <v>1100</v>
      </c>
      <c r="H152" s="1" t="s">
        <v>1101</v>
      </c>
      <c r="I152" t="s">
        <v>128</v>
      </c>
      <c r="J152" s="1" t="s">
        <v>1102</v>
      </c>
      <c r="K152" t="s">
        <v>1103</v>
      </c>
      <c r="L152" t="s">
        <v>1104</v>
      </c>
      <c r="Q152" t="s">
        <v>1105</v>
      </c>
    </row>
    <row r="153" spans="1:17" ht="101.5" x14ac:dyDescent="0.35">
      <c r="A153" t="s">
        <v>1106</v>
      </c>
      <c r="F153" s="7">
        <f>91-8381084191</f>
        <v>-8381084100</v>
      </c>
      <c r="G153" s="4" t="s">
        <v>1107</v>
      </c>
      <c r="I153" t="s">
        <v>1108</v>
      </c>
      <c r="J153" s="1" t="s">
        <v>1109</v>
      </c>
      <c r="L153" t="s">
        <v>1110</v>
      </c>
      <c r="Q153" t="s">
        <v>1111</v>
      </c>
    </row>
    <row r="154" spans="1:17" ht="116" x14ac:dyDescent="0.35">
      <c r="A154" t="s">
        <v>1112</v>
      </c>
      <c r="E154" t="s">
        <v>1113</v>
      </c>
      <c r="F154" s="7" t="s">
        <v>1114</v>
      </c>
      <c r="G154" s="4" t="s">
        <v>1115</v>
      </c>
      <c r="H154" s="1" t="s">
        <v>1116</v>
      </c>
      <c r="I154" t="s">
        <v>982</v>
      </c>
      <c r="J154" s="1" t="s">
        <v>1117</v>
      </c>
      <c r="K154" t="s">
        <v>1067</v>
      </c>
      <c r="L154" t="s">
        <v>738</v>
      </c>
      <c r="Q154" t="s">
        <v>1118</v>
      </c>
    </row>
    <row r="155" spans="1:17" ht="130.5" x14ac:dyDescent="0.35">
      <c r="A155" t="s">
        <v>1119</v>
      </c>
      <c r="B155" s="4" t="s">
        <v>1120</v>
      </c>
      <c r="D155" t="s">
        <v>1121</v>
      </c>
      <c r="F155" s="7">
        <f>91-8619390350</f>
        <v>-8619390259</v>
      </c>
      <c r="G155" s="4" t="s">
        <v>1122</v>
      </c>
      <c r="H155" s="1" t="s">
        <v>1123</v>
      </c>
      <c r="I155" t="s">
        <v>1124</v>
      </c>
      <c r="J155" s="1" t="s">
        <v>1125</v>
      </c>
      <c r="K155" t="s">
        <v>1126</v>
      </c>
      <c r="L155" t="s">
        <v>304</v>
      </c>
      <c r="P155" t="s">
        <v>1127</v>
      </c>
      <c r="Q155" t="s">
        <v>1128</v>
      </c>
    </row>
    <row r="156" spans="1:17" ht="348" x14ac:dyDescent="0.35">
      <c r="A156" t="s">
        <v>1129</v>
      </c>
      <c r="B156" s="4" t="s">
        <v>1130</v>
      </c>
      <c r="D156" t="s">
        <v>1131</v>
      </c>
      <c r="E156" t="s">
        <v>1131</v>
      </c>
      <c r="F156" s="7">
        <v>7666480162</v>
      </c>
      <c r="G156" s="4" t="s">
        <v>1132</v>
      </c>
      <c r="I156" t="s">
        <v>1133</v>
      </c>
      <c r="J156" s="1" t="s">
        <v>1134</v>
      </c>
      <c r="K156" t="s">
        <v>1135</v>
      </c>
      <c r="L156" t="s">
        <v>592</v>
      </c>
      <c r="Q156" t="s">
        <v>1136</v>
      </c>
    </row>
    <row r="157" spans="1:17" ht="58" x14ac:dyDescent="0.35">
      <c r="A157" t="s">
        <v>1137</v>
      </c>
      <c r="F157" s="7">
        <v>9021600209</v>
      </c>
      <c r="G157" s="4" t="s">
        <v>1138</v>
      </c>
      <c r="H157" s="1" t="s">
        <v>1139</v>
      </c>
      <c r="I157" t="s">
        <v>77</v>
      </c>
      <c r="J157" s="1" t="s">
        <v>1140</v>
      </c>
      <c r="Q157" t="s">
        <v>1141</v>
      </c>
    </row>
    <row r="158" spans="1:17" ht="101.5" x14ac:dyDescent="0.35">
      <c r="A158" t="s">
        <v>1142</v>
      </c>
      <c r="D158" t="s">
        <v>1143</v>
      </c>
      <c r="E158" t="s">
        <v>1143</v>
      </c>
      <c r="F158" s="7">
        <v>919849019706</v>
      </c>
      <c r="G158" s="4" t="s">
        <v>1144</v>
      </c>
      <c r="H158" s="1" t="s">
        <v>1145</v>
      </c>
      <c r="I158" t="s">
        <v>103</v>
      </c>
      <c r="J158" s="1" t="s">
        <v>1146</v>
      </c>
      <c r="K158" t="s">
        <v>1103</v>
      </c>
      <c r="L158" t="s">
        <v>1104</v>
      </c>
      <c r="Q158" t="s">
        <v>1147</v>
      </c>
    </row>
    <row r="159" spans="1:17" ht="188.5" x14ac:dyDescent="0.35">
      <c r="A159" t="s">
        <v>1148</v>
      </c>
      <c r="B159" s="4" t="s">
        <v>1149</v>
      </c>
      <c r="C159" s="4" t="s">
        <v>92</v>
      </c>
      <c r="D159" t="s">
        <v>1150</v>
      </c>
      <c r="E159" t="s">
        <v>1151</v>
      </c>
      <c r="F159" s="7">
        <v>7005159356</v>
      </c>
      <c r="G159" s="4" t="s">
        <v>1152</v>
      </c>
      <c r="I159" t="s">
        <v>49</v>
      </c>
      <c r="J159" s="1" t="s">
        <v>1153</v>
      </c>
      <c r="K159" t="s">
        <v>1154</v>
      </c>
      <c r="L159" t="s">
        <v>456</v>
      </c>
      <c r="Q159" t="s">
        <v>1155</v>
      </c>
    </row>
    <row r="160" spans="1:17" ht="304.5" x14ac:dyDescent="0.35">
      <c r="A160" t="s">
        <v>1156</v>
      </c>
      <c r="B160" s="4" t="s">
        <v>1157</v>
      </c>
      <c r="D160" t="s">
        <v>1158</v>
      </c>
      <c r="F160" s="7" t="s">
        <v>1159</v>
      </c>
      <c r="G160" s="4" t="s">
        <v>1160</v>
      </c>
      <c r="H160" s="1" t="s">
        <v>1161</v>
      </c>
      <c r="I160" t="s">
        <v>1162</v>
      </c>
      <c r="J160" s="1" t="s">
        <v>1163</v>
      </c>
      <c r="K160" t="s">
        <v>892</v>
      </c>
      <c r="L160" t="s">
        <v>592</v>
      </c>
      <c r="Q160" t="s">
        <v>1164</v>
      </c>
    </row>
    <row r="161" spans="1:17" ht="116" x14ac:dyDescent="0.35">
      <c r="A161" t="s">
        <v>1165</v>
      </c>
      <c r="F161" s="7">
        <v>919131738720</v>
      </c>
      <c r="G161" s="4" t="s">
        <v>1166</v>
      </c>
      <c r="H161" s="1" t="s">
        <v>1167</v>
      </c>
      <c r="I161" t="s">
        <v>1168</v>
      </c>
      <c r="J161" s="1" t="s">
        <v>1169</v>
      </c>
      <c r="K161" t="s">
        <v>1170</v>
      </c>
      <c r="L161" t="s">
        <v>1171</v>
      </c>
      <c r="Q161" t="s">
        <v>1172</v>
      </c>
    </row>
    <row r="162" spans="1:17" ht="87" x14ac:dyDescent="0.35">
      <c r="A162" t="s">
        <v>1173</v>
      </c>
      <c r="E162" t="s">
        <v>1174</v>
      </c>
      <c r="F162" s="7">
        <v>7265857221</v>
      </c>
      <c r="G162" s="4" t="s">
        <v>1175</v>
      </c>
      <c r="H162" s="1" t="s">
        <v>1176</v>
      </c>
      <c r="I162" t="s">
        <v>1177</v>
      </c>
      <c r="J162" s="1" t="s">
        <v>1178</v>
      </c>
      <c r="K162" t="s">
        <v>336</v>
      </c>
      <c r="L162" t="s">
        <v>25</v>
      </c>
      <c r="Q162" t="s">
        <v>1179</v>
      </c>
    </row>
    <row r="163" spans="1:17" ht="159.5" x14ac:dyDescent="0.35">
      <c r="A163" t="s">
        <v>1180</v>
      </c>
      <c r="E163" t="s">
        <v>1181</v>
      </c>
      <c r="F163" s="7">
        <v>8700342917</v>
      </c>
      <c r="G163" s="4" t="s">
        <v>1182</v>
      </c>
      <c r="H163" s="1" t="s">
        <v>1183</v>
      </c>
      <c r="I163" t="s">
        <v>389</v>
      </c>
      <c r="J163" s="1" t="s">
        <v>1184</v>
      </c>
      <c r="K163" t="s">
        <v>1185</v>
      </c>
      <c r="L163" t="s">
        <v>1186</v>
      </c>
      <c r="Q163" t="s">
        <v>1187</v>
      </c>
    </row>
    <row r="164" spans="1:17" ht="101.5" x14ac:dyDescent="0.35">
      <c r="A164" t="s">
        <v>1188</v>
      </c>
      <c r="B164" s="6">
        <v>36349</v>
      </c>
      <c r="C164" s="4" t="s">
        <v>65</v>
      </c>
      <c r="D164" t="s">
        <v>1189</v>
      </c>
      <c r="F164" s="7">
        <v>7680035355</v>
      </c>
      <c r="G164" s="4" t="s">
        <v>1190</v>
      </c>
      <c r="H164" s="1" t="s">
        <v>1191</v>
      </c>
      <c r="I164" t="s">
        <v>389</v>
      </c>
      <c r="J164" s="1" t="s">
        <v>1192</v>
      </c>
      <c r="K164" t="s">
        <v>1193</v>
      </c>
      <c r="L164" t="s">
        <v>1030</v>
      </c>
      <c r="Q164" t="s">
        <v>1194</v>
      </c>
    </row>
    <row r="165" spans="1:17" ht="87" x14ac:dyDescent="0.35">
      <c r="A165" t="s">
        <v>1195</v>
      </c>
      <c r="B165" s="5">
        <v>35437</v>
      </c>
      <c r="C165" s="4" t="s">
        <v>92</v>
      </c>
      <c r="D165" t="s">
        <v>1196</v>
      </c>
      <c r="E165" t="s">
        <v>1196</v>
      </c>
      <c r="F165" s="7" t="s">
        <v>1197</v>
      </c>
      <c r="G165" s="4" t="s">
        <v>1198</v>
      </c>
      <c r="I165" t="s">
        <v>444</v>
      </c>
      <c r="J165" s="1" t="s">
        <v>1199</v>
      </c>
      <c r="K165" t="s">
        <v>336</v>
      </c>
      <c r="L165" t="s">
        <v>25</v>
      </c>
      <c r="Q165" t="s">
        <v>1200</v>
      </c>
    </row>
    <row r="166" spans="1:17" ht="101.5" x14ac:dyDescent="0.35">
      <c r="A166" t="s">
        <v>1201</v>
      </c>
      <c r="B166" s="6">
        <v>31919</v>
      </c>
      <c r="C166" s="4" t="s">
        <v>92</v>
      </c>
      <c r="D166" t="s">
        <v>1202</v>
      </c>
      <c r="F166" s="7">
        <v>917709923478</v>
      </c>
      <c r="G166" s="4" t="s">
        <v>1203</v>
      </c>
      <c r="H166" s="1" t="s">
        <v>1204</v>
      </c>
      <c r="I166" t="s">
        <v>103</v>
      </c>
      <c r="J166" s="1" t="s">
        <v>1205</v>
      </c>
      <c r="K166" t="s">
        <v>1206</v>
      </c>
      <c r="L166" t="s">
        <v>592</v>
      </c>
      <c r="Q166" t="s">
        <v>1207</v>
      </c>
    </row>
    <row r="167" spans="1:17" ht="159.5" x14ac:dyDescent="0.35">
      <c r="A167" t="s">
        <v>1208</v>
      </c>
      <c r="E167" t="s">
        <v>1209</v>
      </c>
      <c r="F167" s="7">
        <v>9327109906</v>
      </c>
      <c r="G167" s="4" t="s">
        <v>1210</v>
      </c>
      <c r="H167" s="1" t="s">
        <v>1211</v>
      </c>
      <c r="I167" t="s">
        <v>453</v>
      </c>
      <c r="J167" s="1" t="s">
        <v>1212</v>
      </c>
      <c r="K167" t="s">
        <v>491</v>
      </c>
      <c r="L167" t="s">
        <v>25</v>
      </c>
      <c r="Q167" t="s">
        <v>1213</v>
      </c>
    </row>
    <row r="168" spans="1:17" ht="409.5" x14ac:dyDescent="0.35">
      <c r="A168" t="s">
        <v>1214</v>
      </c>
      <c r="B168" s="4" t="s">
        <v>1215</v>
      </c>
      <c r="D168" t="s">
        <v>1216</v>
      </c>
      <c r="F168" s="7">
        <v>8898359705</v>
      </c>
      <c r="G168" s="4" t="s">
        <v>1217</v>
      </c>
      <c r="H168" s="1" t="s">
        <v>1218</v>
      </c>
      <c r="I168" t="s">
        <v>1014</v>
      </c>
      <c r="J168" s="1" t="s">
        <v>1219</v>
      </c>
      <c r="K168" t="s">
        <v>591</v>
      </c>
      <c r="L168" t="s">
        <v>592</v>
      </c>
      <c r="Q168" t="s">
        <v>1220</v>
      </c>
    </row>
    <row r="169" spans="1:17" ht="246.5" x14ac:dyDescent="0.35">
      <c r="A169" t="s">
        <v>1221</v>
      </c>
      <c r="B169" s="5">
        <v>35370</v>
      </c>
      <c r="C169" s="4" t="s">
        <v>65</v>
      </c>
      <c r="D169" t="s">
        <v>1222</v>
      </c>
      <c r="E169" t="s">
        <v>1223</v>
      </c>
      <c r="F169" s="7">
        <f>91-7500810064</f>
        <v>-7500809973</v>
      </c>
      <c r="G169" s="4" t="s">
        <v>1224</v>
      </c>
      <c r="I169" t="s">
        <v>389</v>
      </c>
      <c r="J169" s="1" t="s">
        <v>1225</v>
      </c>
      <c r="K169" t="s">
        <v>1226</v>
      </c>
      <c r="L169" t="s">
        <v>1075</v>
      </c>
      <c r="Q169" t="s">
        <v>1227</v>
      </c>
    </row>
    <row r="170" spans="1:17" ht="159.5" x14ac:dyDescent="0.35">
      <c r="A170" t="s">
        <v>1228</v>
      </c>
      <c r="B170" s="6">
        <v>35438</v>
      </c>
      <c r="C170" s="4" t="s">
        <v>92</v>
      </c>
      <c r="E170" t="s">
        <v>1229</v>
      </c>
      <c r="F170" s="7">
        <v>9987816106</v>
      </c>
      <c r="G170" s="4" t="s">
        <v>1230</v>
      </c>
      <c r="I170" t="s">
        <v>1231</v>
      </c>
      <c r="J170" s="1" t="s">
        <v>1232</v>
      </c>
      <c r="K170" t="s">
        <v>753</v>
      </c>
      <c r="L170" t="s">
        <v>592</v>
      </c>
      <c r="Q170" t="s">
        <v>1233</v>
      </c>
    </row>
    <row r="171" spans="1:17" ht="43.5" x14ac:dyDescent="0.35">
      <c r="A171" t="s">
        <v>1234</v>
      </c>
      <c r="B171" s="4" t="s">
        <v>1235</v>
      </c>
      <c r="C171" s="4" t="s">
        <v>92</v>
      </c>
      <c r="E171" t="s">
        <v>1236</v>
      </c>
      <c r="F171" s="7">
        <v>9987256432</v>
      </c>
      <c r="G171" s="4" t="s">
        <v>1237</v>
      </c>
      <c r="H171" s="1" t="s">
        <v>1238</v>
      </c>
      <c r="I171" t="s">
        <v>453</v>
      </c>
      <c r="J171" s="1" t="s">
        <v>1239</v>
      </c>
      <c r="K171" t="s">
        <v>892</v>
      </c>
      <c r="L171" t="s">
        <v>592</v>
      </c>
      <c r="M171" t="s">
        <v>26</v>
      </c>
      <c r="Q171" t="s">
        <v>1240</v>
      </c>
    </row>
    <row r="172" spans="1:17" ht="159.5" x14ac:dyDescent="0.35">
      <c r="A172" t="s">
        <v>1241</v>
      </c>
      <c r="B172" s="6">
        <v>36576</v>
      </c>
      <c r="C172" s="4" t="s">
        <v>1242</v>
      </c>
      <c r="D172" t="s">
        <v>1243</v>
      </c>
      <c r="F172" s="7">
        <v>8249620516</v>
      </c>
      <c r="G172" s="4" t="s">
        <v>1244</v>
      </c>
      <c r="H172" s="1" t="s">
        <v>1245</v>
      </c>
      <c r="I172" t="s">
        <v>389</v>
      </c>
      <c r="J172" s="1" t="s">
        <v>1246</v>
      </c>
      <c r="K172" t="s">
        <v>1247</v>
      </c>
      <c r="L172" t="s">
        <v>853</v>
      </c>
      <c r="O172">
        <v>67609128967</v>
      </c>
      <c r="Q172" t="s">
        <v>1248</v>
      </c>
    </row>
    <row r="173" spans="1:17" ht="188.5" x14ac:dyDescent="0.35">
      <c r="A173" t="s">
        <v>1249</v>
      </c>
      <c r="D173" t="s">
        <v>1250</v>
      </c>
      <c r="F173" s="7">
        <v>9674663110</v>
      </c>
      <c r="G173" s="4" t="s">
        <v>1251</v>
      </c>
      <c r="I173" t="s">
        <v>1252</v>
      </c>
      <c r="J173" s="1" t="s">
        <v>1253</v>
      </c>
      <c r="K173" t="s">
        <v>1254</v>
      </c>
      <c r="L173" t="s">
        <v>447</v>
      </c>
      <c r="Q173" t="s">
        <v>1255</v>
      </c>
    </row>
    <row r="174" spans="1:17" ht="43.5" x14ac:dyDescent="0.35">
      <c r="A174" t="s">
        <v>1256</v>
      </c>
      <c r="B174" s="4" t="s">
        <v>1257</v>
      </c>
      <c r="D174" t="s">
        <v>1258</v>
      </c>
      <c r="E174" t="s">
        <v>1258</v>
      </c>
      <c r="F174" s="7">
        <v>916353880621</v>
      </c>
      <c r="G174" s="4" t="s">
        <v>1259</v>
      </c>
      <c r="H174" s="1" t="s">
        <v>1260</v>
      </c>
      <c r="I174" t="s">
        <v>128</v>
      </c>
      <c r="K174" t="s">
        <v>336</v>
      </c>
      <c r="L174" t="s">
        <v>25</v>
      </c>
      <c r="Q174" t="s">
        <v>1261</v>
      </c>
    </row>
    <row r="175" spans="1:17" ht="58" x14ac:dyDescent="0.35">
      <c r="A175" t="s">
        <v>1262</v>
      </c>
      <c r="D175" t="s">
        <v>1263</v>
      </c>
      <c r="E175" t="s">
        <v>1263</v>
      </c>
      <c r="F175" s="7">
        <f>91-9565284318</f>
        <v>-9565284227</v>
      </c>
      <c r="H175" s="1" t="s">
        <v>1264</v>
      </c>
      <c r="I175" t="s">
        <v>1265</v>
      </c>
      <c r="J175" s="1" t="s">
        <v>1266</v>
      </c>
      <c r="K175" t="s">
        <v>1267</v>
      </c>
      <c r="L175" t="s">
        <v>87</v>
      </c>
      <c r="Q175" t="s">
        <v>1268</v>
      </c>
    </row>
    <row r="176" spans="1:17" ht="290" x14ac:dyDescent="0.35">
      <c r="A176" t="s">
        <v>1269</v>
      </c>
      <c r="E176" t="s">
        <v>1270</v>
      </c>
      <c r="F176" s="7">
        <f>91-9978778323</f>
        <v>-9978778232</v>
      </c>
      <c r="G176" s="4" t="s">
        <v>1271</v>
      </c>
      <c r="H176" s="1" t="s">
        <v>1272</v>
      </c>
      <c r="I176" t="s">
        <v>1273</v>
      </c>
      <c r="J176" s="1" t="s">
        <v>1274</v>
      </c>
      <c r="K176" t="s">
        <v>477</v>
      </c>
      <c r="L176" t="s">
        <v>25</v>
      </c>
      <c r="Q176" t="s">
        <v>1275</v>
      </c>
    </row>
    <row r="177" spans="1:17" ht="101.5" x14ac:dyDescent="0.35">
      <c r="A177" t="s">
        <v>1276</v>
      </c>
      <c r="E177" t="s">
        <v>1277</v>
      </c>
      <c r="F177" s="7">
        <v>919574739234</v>
      </c>
      <c r="G177" s="4" t="s">
        <v>1278</v>
      </c>
      <c r="H177" s="1" t="s">
        <v>1279</v>
      </c>
      <c r="I177" t="s">
        <v>1280</v>
      </c>
      <c r="J177" s="1" t="s">
        <v>1281</v>
      </c>
      <c r="K177" t="s">
        <v>477</v>
      </c>
      <c r="L177" t="s">
        <v>25</v>
      </c>
      <c r="Q177" t="s">
        <v>1282</v>
      </c>
    </row>
    <row r="178" spans="1:17" ht="101.5" x14ac:dyDescent="0.35">
      <c r="A178" t="s">
        <v>1283</v>
      </c>
      <c r="D178" t="s">
        <v>1284</v>
      </c>
      <c r="E178" t="s">
        <v>1284</v>
      </c>
      <c r="F178" s="7">
        <v>7984328869</v>
      </c>
      <c r="G178" s="4" t="s">
        <v>1285</v>
      </c>
      <c r="J178" s="1" t="s">
        <v>1286</v>
      </c>
      <c r="K178" t="s">
        <v>1287</v>
      </c>
      <c r="L178" t="s">
        <v>25</v>
      </c>
      <c r="Q178" t="s">
        <v>1288</v>
      </c>
    </row>
    <row r="179" spans="1:17" ht="174" x14ac:dyDescent="0.35">
      <c r="A179" t="s">
        <v>1289</v>
      </c>
      <c r="E179" t="s">
        <v>1290</v>
      </c>
      <c r="F179" s="7">
        <v>7697805892</v>
      </c>
      <c r="G179" s="4" t="s">
        <v>1291</v>
      </c>
      <c r="H179" s="1" t="s">
        <v>1292</v>
      </c>
      <c r="I179" t="s">
        <v>1037</v>
      </c>
      <c r="J179" s="1" t="s">
        <v>1293</v>
      </c>
      <c r="K179" t="s">
        <v>1294</v>
      </c>
      <c r="L179" t="s">
        <v>1171</v>
      </c>
      <c r="Q179" t="s">
        <v>1295</v>
      </c>
    </row>
    <row r="180" spans="1:17" ht="174" x14ac:dyDescent="0.35">
      <c r="A180" t="s">
        <v>1296</v>
      </c>
      <c r="B180" s="4" t="s">
        <v>1297</v>
      </c>
      <c r="D180" t="s">
        <v>1298</v>
      </c>
      <c r="F180" s="7">
        <v>9942315129</v>
      </c>
      <c r="G180" s="4" t="s">
        <v>1299</v>
      </c>
      <c r="I180" t="s">
        <v>1300</v>
      </c>
      <c r="J180" s="1" t="s">
        <v>1301</v>
      </c>
      <c r="K180" t="s">
        <v>1302</v>
      </c>
      <c r="L180" t="s">
        <v>1303</v>
      </c>
      <c r="M180" t="s">
        <v>26</v>
      </c>
      <c r="Q180" t="s">
        <v>1304</v>
      </c>
    </row>
    <row r="181" spans="1:17" ht="72.5" x14ac:dyDescent="0.35">
      <c r="A181" t="s">
        <v>1305</v>
      </c>
      <c r="F181" s="7" t="s">
        <v>1306</v>
      </c>
      <c r="G181" s="4" t="s">
        <v>1307</v>
      </c>
      <c r="H181" s="1" t="s">
        <v>1308</v>
      </c>
      <c r="I181" t="s">
        <v>1309</v>
      </c>
      <c r="J181" s="1" t="s">
        <v>1310</v>
      </c>
      <c r="K181" t="s">
        <v>477</v>
      </c>
      <c r="L181" t="s">
        <v>25</v>
      </c>
      <c r="Q181" t="s">
        <v>1311</v>
      </c>
    </row>
    <row r="182" spans="1:17" ht="87" x14ac:dyDescent="0.35">
      <c r="A182" t="s">
        <v>1312</v>
      </c>
      <c r="B182" s="4" t="s">
        <v>1313</v>
      </c>
      <c r="C182" s="4" t="s">
        <v>141</v>
      </c>
      <c r="D182" t="s">
        <v>1314</v>
      </c>
      <c r="F182" s="7" t="s">
        <v>1315</v>
      </c>
      <c r="G182" s="4" t="s">
        <v>1316</v>
      </c>
      <c r="H182" s="1" t="s">
        <v>1317</v>
      </c>
      <c r="I182" t="s">
        <v>912</v>
      </c>
      <c r="J182" s="1" t="s">
        <v>1318</v>
      </c>
      <c r="K182" t="s">
        <v>1319</v>
      </c>
      <c r="L182" t="s">
        <v>1171</v>
      </c>
      <c r="M182" t="s">
        <v>26</v>
      </c>
      <c r="Q182" t="s">
        <v>1320</v>
      </c>
    </row>
    <row r="183" spans="1:17" ht="188.5" x14ac:dyDescent="0.35">
      <c r="A183" t="s">
        <v>1321</v>
      </c>
      <c r="E183" t="s">
        <v>1322</v>
      </c>
      <c r="F183" s="7" t="s">
        <v>1323</v>
      </c>
      <c r="G183" s="4" t="s">
        <v>1324</v>
      </c>
      <c r="I183" t="s">
        <v>103</v>
      </c>
      <c r="J183" s="1" t="s">
        <v>1325</v>
      </c>
      <c r="K183" t="s">
        <v>591</v>
      </c>
      <c r="L183" t="s">
        <v>592</v>
      </c>
      <c r="Q183" t="s">
        <v>1326</v>
      </c>
    </row>
    <row r="184" spans="1:17" ht="58" x14ac:dyDescent="0.35">
      <c r="A184" t="s">
        <v>1327</v>
      </c>
      <c r="B184" s="4" t="s">
        <v>1328</v>
      </c>
      <c r="C184" s="4" t="s">
        <v>92</v>
      </c>
      <c r="D184" t="s">
        <v>1329</v>
      </c>
      <c r="F184" s="7">
        <f>91-8329810718</f>
        <v>-8329810627</v>
      </c>
      <c r="G184" s="4" t="s">
        <v>1330</v>
      </c>
      <c r="H184" s="1" t="s">
        <v>1331</v>
      </c>
      <c r="I184" t="s">
        <v>1332</v>
      </c>
      <c r="J184" s="1" t="s">
        <v>1333</v>
      </c>
      <c r="K184" t="s">
        <v>969</v>
      </c>
      <c r="L184" t="s">
        <v>592</v>
      </c>
      <c r="Q184" t="s">
        <v>1334</v>
      </c>
    </row>
    <row r="185" spans="1:17" ht="72.5" x14ac:dyDescent="0.35">
      <c r="A185" t="s">
        <v>1335</v>
      </c>
      <c r="D185" t="s">
        <v>1336</v>
      </c>
      <c r="E185" t="s">
        <v>1336</v>
      </c>
      <c r="F185" s="7">
        <v>9726247123</v>
      </c>
      <c r="G185" s="4" t="s">
        <v>1337</v>
      </c>
      <c r="H185" s="1" t="s">
        <v>1338</v>
      </c>
      <c r="I185" t="s">
        <v>881</v>
      </c>
      <c r="J185" s="1" t="s">
        <v>1339</v>
      </c>
      <c r="K185" t="s">
        <v>1340</v>
      </c>
      <c r="L185" t="s">
        <v>25</v>
      </c>
      <c r="Q185" t="s">
        <v>1341</v>
      </c>
    </row>
    <row r="186" spans="1:17" ht="275.5" x14ac:dyDescent="0.35">
      <c r="A186" t="s">
        <v>1342</v>
      </c>
      <c r="D186" t="s">
        <v>1343</v>
      </c>
      <c r="F186" s="7" t="s">
        <v>1344</v>
      </c>
      <c r="G186" s="4" t="s">
        <v>1345</v>
      </c>
      <c r="H186" s="1" t="s">
        <v>1346</v>
      </c>
      <c r="I186" t="s">
        <v>1347</v>
      </c>
      <c r="J186" s="1" t="s">
        <v>1348</v>
      </c>
      <c r="K186" t="s">
        <v>1349</v>
      </c>
      <c r="L186" t="s">
        <v>1186</v>
      </c>
      <c r="Q186" t="s">
        <v>1350</v>
      </c>
    </row>
    <row r="187" spans="1:17" ht="203" x14ac:dyDescent="0.35">
      <c r="A187" t="s">
        <v>1351</v>
      </c>
      <c r="B187" s="4" t="s">
        <v>1352</v>
      </c>
      <c r="D187" t="s">
        <v>1353</v>
      </c>
      <c r="E187" t="s">
        <v>1353</v>
      </c>
      <c r="F187" s="7">
        <f>91-8141068030</f>
        <v>-8141067939</v>
      </c>
      <c r="G187" s="4" t="s">
        <v>1354</v>
      </c>
      <c r="I187" t="s">
        <v>1355</v>
      </c>
      <c r="J187" s="1" t="s">
        <v>1356</v>
      </c>
      <c r="K187" t="s">
        <v>1340</v>
      </c>
      <c r="L187" t="s">
        <v>25</v>
      </c>
      <c r="Q187" t="s">
        <v>1357</v>
      </c>
    </row>
    <row r="188" spans="1:17" ht="159.5" x14ac:dyDescent="0.35">
      <c r="A188" t="s">
        <v>1358</v>
      </c>
      <c r="B188" s="5">
        <v>35411</v>
      </c>
      <c r="C188" s="4" t="s">
        <v>65</v>
      </c>
      <c r="D188" t="s">
        <v>1359</v>
      </c>
      <c r="F188" s="7">
        <v>9838442393</v>
      </c>
      <c r="H188" s="1" t="s">
        <v>1360</v>
      </c>
      <c r="I188" t="s">
        <v>1273</v>
      </c>
      <c r="J188" s="1" t="s">
        <v>1361</v>
      </c>
      <c r="K188" t="s">
        <v>1362</v>
      </c>
      <c r="L188" t="s">
        <v>87</v>
      </c>
      <c r="Q188" t="s">
        <v>1363</v>
      </c>
    </row>
    <row r="189" spans="1:17" ht="406" x14ac:dyDescent="0.35">
      <c r="A189" t="s">
        <v>1364</v>
      </c>
      <c r="B189" s="4" t="s">
        <v>1365</v>
      </c>
      <c r="C189" s="4" t="s">
        <v>65</v>
      </c>
      <c r="D189" t="s">
        <v>1366</v>
      </c>
      <c r="F189" s="7" t="s">
        <v>1367</v>
      </c>
      <c r="G189" s="4" t="s">
        <v>1368</v>
      </c>
      <c r="H189" s="1" t="s">
        <v>1369</v>
      </c>
      <c r="I189" t="s">
        <v>1370</v>
      </c>
      <c r="J189" s="1" t="s">
        <v>1371</v>
      </c>
      <c r="K189" t="s">
        <v>1372</v>
      </c>
      <c r="L189" t="s">
        <v>1373</v>
      </c>
      <c r="Q189" t="s">
        <v>1374</v>
      </c>
    </row>
    <row r="190" spans="1:17" ht="101.5" x14ac:dyDescent="0.35">
      <c r="A190" t="s">
        <v>1375</v>
      </c>
      <c r="F190" s="7">
        <f>91 - 9876519734</f>
        <v>-9876519643</v>
      </c>
      <c r="G190" s="4" t="s">
        <v>1376</v>
      </c>
      <c r="H190" s="1" t="s">
        <v>1377</v>
      </c>
      <c r="I190" t="s">
        <v>679</v>
      </c>
      <c r="J190" s="1" t="s">
        <v>1378</v>
      </c>
      <c r="K190" t="s">
        <v>1379</v>
      </c>
      <c r="L190" t="s">
        <v>1380</v>
      </c>
      <c r="Q190" t="s">
        <v>1381</v>
      </c>
    </row>
    <row r="191" spans="1:17" ht="159.5" x14ac:dyDescent="0.35">
      <c r="A191" t="s">
        <v>1382</v>
      </c>
      <c r="D191" t="s">
        <v>1383</v>
      </c>
      <c r="F191" s="7">
        <v>8298680813</v>
      </c>
      <c r="G191" s="4" t="s">
        <v>1384</v>
      </c>
      <c r="H191" s="1" t="s">
        <v>1385</v>
      </c>
      <c r="I191" t="s">
        <v>154</v>
      </c>
      <c r="J191" s="1" t="s">
        <v>1386</v>
      </c>
      <c r="K191" t="s">
        <v>455</v>
      </c>
      <c r="L191" t="s">
        <v>456</v>
      </c>
      <c r="Q191" t="s">
        <v>1387</v>
      </c>
    </row>
    <row r="192" spans="1:17" ht="159.5" x14ac:dyDescent="0.35">
      <c r="A192" t="s">
        <v>1388</v>
      </c>
      <c r="B192" s="5">
        <v>36621</v>
      </c>
      <c r="D192" t="s">
        <v>1389</v>
      </c>
      <c r="F192" s="7" t="s">
        <v>1390</v>
      </c>
      <c r="G192" s="4" t="s">
        <v>1391</v>
      </c>
      <c r="H192" s="1" t="s">
        <v>1392</v>
      </c>
      <c r="J192" s="1" t="s">
        <v>1393</v>
      </c>
      <c r="K192" t="s">
        <v>1394</v>
      </c>
      <c r="L192" t="s">
        <v>1030</v>
      </c>
      <c r="Q192" t="s">
        <v>1395</v>
      </c>
    </row>
    <row r="193" spans="1:17" ht="43.5" x14ac:dyDescent="0.35">
      <c r="A193" t="s">
        <v>1396</v>
      </c>
      <c r="B193" s="6">
        <v>36877</v>
      </c>
      <c r="C193" s="4" t="s">
        <v>65</v>
      </c>
      <c r="D193" t="s">
        <v>1397</v>
      </c>
      <c r="F193" s="7">
        <v>6354451986</v>
      </c>
      <c r="G193" s="4" t="s">
        <v>1398</v>
      </c>
      <c r="H193" s="1" t="s">
        <v>1399</v>
      </c>
      <c r="I193" t="s">
        <v>1400</v>
      </c>
      <c r="J193" s="1" t="s">
        <v>1401</v>
      </c>
      <c r="K193" t="s">
        <v>336</v>
      </c>
      <c r="M193" t="s">
        <v>26</v>
      </c>
      <c r="Q193" t="s">
        <v>1402</v>
      </c>
    </row>
    <row r="194" spans="1:17" ht="145" x14ac:dyDescent="0.35">
      <c r="A194" t="s">
        <v>1403</v>
      </c>
      <c r="B194" s="6">
        <v>30205</v>
      </c>
      <c r="C194" s="4" t="s">
        <v>92</v>
      </c>
      <c r="D194" t="s">
        <v>1404</v>
      </c>
      <c r="F194" s="7" t="s">
        <v>1405</v>
      </c>
      <c r="G194" s="4" t="s">
        <v>1406</v>
      </c>
      <c r="H194" s="1" t="s">
        <v>1407</v>
      </c>
      <c r="I194" t="s">
        <v>1408</v>
      </c>
      <c r="J194" s="1" t="s">
        <v>1409</v>
      </c>
      <c r="K194" t="s">
        <v>1410</v>
      </c>
      <c r="L194" t="s">
        <v>25</v>
      </c>
      <c r="M194" t="s">
        <v>26</v>
      </c>
      <c r="Q194" t="s">
        <v>1411</v>
      </c>
    </row>
    <row r="195" spans="1:17" ht="43.5" x14ac:dyDescent="0.35">
      <c r="A195" t="s">
        <v>1412</v>
      </c>
      <c r="B195" s="4" t="s">
        <v>1413</v>
      </c>
      <c r="C195" s="4" t="s">
        <v>45</v>
      </c>
      <c r="D195" t="s">
        <v>1414</v>
      </c>
      <c r="E195" t="s">
        <v>1414</v>
      </c>
      <c r="F195" s="7">
        <v>9904335536</v>
      </c>
      <c r="G195" s="4" t="s">
        <v>1415</v>
      </c>
      <c r="H195" s="1" t="s">
        <v>1416</v>
      </c>
      <c r="K195" t="s">
        <v>1417</v>
      </c>
      <c r="L195" t="s">
        <v>138</v>
      </c>
      <c r="M195" t="s">
        <v>61</v>
      </c>
      <c r="Q195" t="s">
        <v>1418</v>
      </c>
    </row>
    <row r="196" spans="1:17" ht="43.5" x14ac:dyDescent="0.35">
      <c r="A196" t="s">
        <v>273</v>
      </c>
      <c r="B196" s="4" t="s">
        <v>274</v>
      </c>
      <c r="C196" s="4" t="s">
        <v>275</v>
      </c>
      <c r="D196" t="s">
        <v>276</v>
      </c>
      <c r="E196" t="s">
        <v>1419</v>
      </c>
      <c r="F196" s="7">
        <v>9636084189</v>
      </c>
      <c r="G196" s="4" t="s">
        <v>277</v>
      </c>
      <c r="H196" s="1" t="s">
        <v>278</v>
      </c>
      <c r="I196" t="s">
        <v>1420</v>
      </c>
      <c r="J196" s="1" t="s">
        <v>1421</v>
      </c>
      <c r="K196" t="s">
        <v>164</v>
      </c>
      <c r="L196" t="s">
        <v>60</v>
      </c>
      <c r="M196" t="s">
        <v>61</v>
      </c>
      <c r="Q196" t="s">
        <v>1422</v>
      </c>
    </row>
    <row r="197" spans="1:17" ht="43.5" x14ac:dyDescent="0.35">
      <c r="A197" t="s">
        <v>1423</v>
      </c>
      <c r="B197" s="4" t="s">
        <v>1424</v>
      </c>
      <c r="C197" s="4" t="s">
        <v>45</v>
      </c>
      <c r="D197" t="s">
        <v>1425</v>
      </c>
      <c r="F197" s="7" t="s">
        <v>1426</v>
      </c>
      <c r="G197" s="4" t="s">
        <v>1427</v>
      </c>
      <c r="H197" s="1" t="s">
        <v>1428</v>
      </c>
      <c r="I197" t="s">
        <v>1005</v>
      </c>
      <c r="J197" s="1" t="s">
        <v>1429</v>
      </c>
      <c r="K197" t="s">
        <v>1430</v>
      </c>
      <c r="M197" t="s">
        <v>26</v>
      </c>
      <c r="Q197" t="s">
        <v>1431</v>
      </c>
    </row>
    <row r="198" spans="1:17" ht="333.5" x14ac:dyDescent="0.35">
      <c r="A198" t="s">
        <v>1432</v>
      </c>
      <c r="E198" t="s">
        <v>878</v>
      </c>
      <c r="F198" s="7">
        <v>8810657376</v>
      </c>
      <c r="G198" s="4" t="s">
        <v>1433</v>
      </c>
      <c r="H198" s="1" t="s">
        <v>1434</v>
      </c>
      <c r="I198" t="s">
        <v>444</v>
      </c>
      <c r="J198" s="1" t="s">
        <v>1435</v>
      </c>
      <c r="K198" t="s">
        <v>878</v>
      </c>
      <c r="L198" t="s">
        <v>883</v>
      </c>
      <c r="Q198" t="s">
        <v>1436</v>
      </c>
    </row>
    <row r="199" spans="1:17" ht="159.5" x14ac:dyDescent="0.35">
      <c r="A199" t="s">
        <v>107</v>
      </c>
      <c r="E199" t="s">
        <v>1437</v>
      </c>
      <c r="F199" s="7">
        <v>7352877961</v>
      </c>
      <c r="G199" s="4" t="s">
        <v>1438</v>
      </c>
      <c r="H199" s="1" t="s">
        <v>1439</v>
      </c>
      <c r="I199" t="s">
        <v>1440</v>
      </c>
      <c r="J199" s="1" t="s">
        <v>1441</v>
      </c>
      <c r="K199" t="s">
        <v>1442</v>
      </c>
      <c r="L199" t="s">
        <v>456</v>
      </c>
      <c r="Q199" t="s">
        <v>1443</v>
      </c>
    </row>
    <row r="200" spans="1:17" ht="101.5" x14ac:dyDescent="0.35">
      <c r="A200" t="s">
        <v>1444</v>
      </c>
      <c r="B200" s="4" t="s">
        <v>1445</v>
      </c>
      <c r="C200" s="4" t="s">
        <v>65</v>
      </c>
      <c r="D200" t="s">
        <v>1446</v>
      </c>
      <c r="F200" s="7">
        <v>918145810375</v>
      </c>
      <c r="G200" s="4" t="s">
        <v>1447</v>
      </c>
      <c r="H200" s="1" t="s">
        <v>1448</v>
      </c>
      <c r="I200" t="s">
        <v>1449</v>
      </c>
      <c r="J200" s="1" t="s">
        <v>1450</v>
      </c>
      <c r="K200" t="s">
        <v>1451</v>
      </c>
      <c r="L200" t="s">
        <v>447</v>
      </c>
      <c r="M200" t="s">
        <v>26</v>
      </c>
      <c r="Q200" t="s">
        <v>1452</v>
      </c>
    </row>
    <row r="201" spans="1:17" ht="72.5" x14ac:dyDescent="0.35">
      <c r="A201" t="s">
        <v>1453</v>
      </c>
      <c r="B201" s="4" t="s">
        <v>1454</v>
      </c>
      <c r="C201" s="4" t="s">
        <v>1455</v>
      </c>
      <c r="D201" t="s">
        <v>1456</v>
      </c>
      <c r="F201" s="7" t="s">
        <v>1457</v>
      </c>
      <c r="G201" s="4" t="s">
        <v>1458</v>
      </c>
      <c r="H201" s="1" t="s">
        <v>1459</v>
      </c>
      <c r="I201" t="s">
        <v>453</v>
      </c>
      <c r="J201" s="1" t="s">
        <v>1460</v>
      </c>
      <c r="K201" t="s">
        <v>41</v>
      </c>
      <c r="L201" t="s">
        <v>25</v>
      </c>
      <c r="Q201" t="s">
        <v>1461</v>
      </c>
    </row>
    <row r="202" spans="1:17" ht="29" x14ac:dyDescent="0.35">
      <c r="F202" s="7"/>
      <c r="J202" s="1" t="s">
        <v>1462</v>
      </c>
      <c r="Q202" t="s">
        <v>1463</v>
      </c>
    </row>
    <row r="203" spans="1:17" ht="43.5" x14ac:dyDescent="0.35">
      <c r="A203" t="s">
        <v>1464</v>
      </c>
      <c r="B203" s="4" t="s">
        <v>1465</v>
      </c>
      <c r="C203" s="4" t="s">
        <v>92</v>
      </c>
      <c r="D203" t="s">
        <v>1466</v>
      </c>
      <c r="F203" s="7" t="s">
        <v>1467</v>
      </c>
      <c r="G203" s="4" t="s">
        <v>1468</v>
      </c>
      <c r="H203" s="1" t="s">
        <v>1469</v>
      </c>
      <c r="I203" t="s">
        <v>1470</v>
      </c>
      <c r="J203" s="1" t="s">
        <v>1471</v>
      </c>
      <c r="K203" t="s">
        <v>1472</v>
      </c>
      <c r="M203" t="s">
        <v>418</v>
      </c>
      <c r="Q203" t="s">
        <v>1473</v>
      </c>
    </row>
    <row r="204" spans="1:17" ht="116" x14ac:dyDescent="0.35">
      <c r="A204" t="s">
        <v>1474</v>
      </c>
      <c r="E204" t="s">
        <v>1103</v>
      </c>
      <c r="F204" s="7">
        <v>8144811502</v>
      </c>
      <c r="G204" s="4" t="s">
        <v>1475</v>
      </c>
      <c r="H204" s="1" t="s">
        <v>1476</v>
      </c>
      <c r="J204" s="1" t="s">
        <v>1477</v>
      </c>
      <c r="K204" t="s">
        <v>1103</v>
      </c>
      <c r="Q204" t="s">
        <v>1478</v>
      </c>
    </row>
    <row r="205" spans="1:17" ht="87" x14ac:dyDescent="0.35">
      <c r="A205" t="s">
        <v>1479</v>
      </c>
      <c r="E205" t="s">
        <v>1480</v>
      </c>
      <c r="F205" s="7">
        <f>91-7339518417</f>
        <v>-7339518326</v>
      </c>
      <c r="G205" s="4" t="s">
        <v>1481</v>
      </c>
      <c r="H205" s="1" t="s">
        <v>1482</v>
      </c>
      <c r="J205" s="1" t="s">
        <v>1483</v>
      </c>
      <c r="K205" t="s">
        <v>1484</v>
      </c>
      <c r="Q205" t="s">
        <v>1485</v>
      </c>
    </row>
    <row r="206" spans="1:17" ht="116" x14ac:dyDescent="0.35">
      <c r="A206" t="s">
        <v>1486</v>
      </c>
      <c r="F206" s="7" t="s">
        <v>1487</v>
      </c>
      <c r="G206" s="4" t="s">
        <v>1488</v>
      </c>
      <c r="H206" s="1" t="s">
        <v>1489</v>
      </c>
      <c r="J206" s="1" t="s">
        <v>1490</v>
      </c>
      <c r="Q206" t="s">
        <v>1491</v>
      </c>
    </row>
    <row r="207" spans="1:17" ht="58" x14ac:dyDescent="0.35">
      <c r="A207" t="s">
        <v>1492</v>
      </c>
      <c r="F207" s="7">
        <f>91-7017128491</f>
        <v>-7017128400</v>
      </c>
      <c r="G207" s="4" t="s">
        <v>1493</v>
      </c>
      <c r="I207" t="s">
        <v>287</v>
      </c>
      <c r="J207" s="1" t="s">
        <v>1494</v>
      </c>
      <c r="Q207" t="s">
        <v>1495</v>
      </c>
    </row>
    <row r="208" spans="1:17" ht="72.5" x14ac:dyDescent="0.35">
      <c r="A208" t="s">
        <v>1496</v>
      </c>
      <c r="D208" t="s">
        <v>1497</v>
      </c>
      <c r="E208" t="s">
        <v>1497</v>
      </c>
      <c r="F208" s="7">
        <v>8870151734</v>
      </c>
      <c r="G208" s="4" t="s">
        <v>1498</v>
      </c>
      <c r="H208" s="1" t="s">
        <v>1499</v>
      </c>
      <c r="J208" s="1" t="s">
        <v>1500</v>
      </c>
      <c r="K208" t="s">
        <v>1501</v>
      </c>
      <c r="Q208" t="s">
        <v>1502</v>
      </c>
    </row>
    <row r="209" spans="1:17" ht="58" x14ac:dyDescent="0.35">
      <c r="A209" t="s">
        <v>1503</v>
      </c>
      <c r="E209" t="s">
        <v>1504</v>
      </c>
      <c r="F209" s="7">
        <v>9841904047</v>
      </c>
      <c r="G209" s="4" t="s">
        <v>1505</v>
      </c>
      <c r="H209" s="1" t="s">
        <v>1506</v>
      </c>
      <c r="I209" t="s">
        <v>1507</v>
      </c>
      <c r="J209" s="1" t="s">
        <v>1508</v>
      </c>
      <c r="K209" t="s">
        <v>1509</v>
      </c>
      <c r="Q209" t="s">
        <v>1510</v>
      </c>
    </row>
    <row r="210" spans="1:17" ht="87" x14ac:dyDescent="0.35">
      <c r="A210" t="s">
        <v>1511</v>
      </c>
      <c r="F210" s="7" t="s">
        <v>1512</v>
      </c>
      <c r="G210" s="4" t="s">
        <v>1513</v>
      </c>
      <c r="H210" s="1" t="s">
        <v>1514</v>
      </c>
      <c r="I210" t="s">
        <v>1515</v>
      </c>
      <c r="J210" s="1" t="s">
        <v>1516</v>
      </c>
      <c r="Q210" t="s">
        <v>1517</v>
      </c>
    </row>
    <row r="211" spans="1:17" ht="232" x14ac:dyDescent="0.35">
      <c r="A211" t="s">
        <v>1518</v>
      </c>
      <c r="B211" s="4" t="s">
        <v>1519</v>
      </c>
      <c r="C211" s="4" t="s">
        <v>65</v>
      </c>
      <c r="F211" s="7">
        <v>9603346185</v>
      </c>
      <c r="G211" s="4" t="s">
        <v>1520</v>
      </c>
      <c r="H211" s="1" t="s">
        <v>1521</v>
      </c>
      <c r="J211" s="1" t="s">
        <v>1522</v>
      </c>
      <c r="M211" t="s">
        <v>61</v>
      </c>
      <c r="Q211" t="s">
        <v>1523</v>
      </c>
    </row>
    <row r="212" spans="1:17" ht="58" x14ac:dyDescent="0.35">
      <c r="A212" t="s">
        <v>1524</v>
      </c>
      <c r="D212" t="s">
        <v>1525</v>
      </c>
      <c r="E212" t="s">
        <v>1525</v>
      </c>
      <c r="F212" s="7">
        <v>7337853761</v>
      </c>
      <c r="G212" s="4" t="s">
        <v>1526</v>
      </c>
      <c r="H212" s="1" t="s">
        <v>1527</v>
      </c>
      <c r="I212" t="s">
        <v>1528</v>
      </c>
      <c r="J212" s="1" t="s">
        <v>1529</v>
      </c>
      <c r="K212" t="s">
        <v>1530</v>
      </c>
      <c r="L212" t="s">
        <v>738</v>
      </c>
      <c r="Q212" t="s">
        <v>1531</v>
      </c>
    </row>
    <row r="213" spans="1:17" ht="116" x14ac:dyDescent="0.35">
      <c r="A213" t="s">
        <v>1532</v>
      </c>
      <c r="E213" t="s">
        <v>1533</v>
      </c>
      <c r="F213" s="7" t="s">
        <v>1534</v>
      </c>
      <c r="G213" s="4" t="s">
        <v>1535</v>
      </c>
      <c r="H213" s="1" t="s">
        <v>1536</v>
      </c>
      <c r="I213" t="s">
        <v>483</v>
      </c>
      <c r="J213" s="1" t="s">
        <v>1537</v>
      </c>
      <c r="K213" t="s">
        <v>1110</v>
      </c>
      <c r="L213" t="s">
        <v>592</v>
      </c>
      <c r="Q213" t="s">
        <v>1538</v>
      </c>
    </row>
    <row r="214" spans="1:17" ht="116" x14ac:dyDescent="0.35">
      <c r="A214" t="s">
        <v>1539</v>
      </c>
      <c r="F214" s="7">
        <v>8248134198</v>
      </c>
      <c r="G214" s="4" t="s">
        <v>1540</v>
      </c>
      <c r="H214" s="1" t="s">
        <v>1541</v>
      </c>
      <c r="J214" s="1" t="s">
        <v>1542</v>
      </c>
      <c r="Q214" t="s">
        <v>1543</v>
      </c>
    </row>
    <row r="215" spans="1:17" ht="159.5" x14ac:dyDescent="0.35">
      <c r="A215" t="s">
        <v>1544</v>
      </c>
      <c r="B215" s="4" t="s">
        <v>1545</v>
      </c>
      <c r="D215" t="s">
        <v>1546</v>
      </c>
      <c r="E215" t="s">
        <v>1546</v>
      </c>
      <c r="F215" s="7">
        <f>91- 7908623578</f>
        <v>-7908623487</v>
      </c>
      <c r="G215" s="4" t="s">
        <v>1547</v>
      </c>
      <c r="H215" s="1" t="s">
        <v>1548</v>
      </c>
      <c r="I215" t="s">
        <v>103</v>
      </c>
      <c r="J215" s="1" t="s">
        <v>1549</v>
      </c>
      <c r="K215" t="s">
        <v>1550</v>
      </c>
      <c r="L215" t="s">
        <v>447</v>
      </c>
      <c r="Q215" t="s">
        <v>1551</v>
      </c>
    </row>
    <row r="216" spans="1:17" ht="58" x14ac:dyDescent="0.35">
      <c r="A216" t="s">
        <v>1552</v>
      </c>
      <c r="F216" s="7" t="s">
        <v>1553</v>
      </c>
      <c r="G216" s="4" t="s">
        <v>1554</v>
      </c>
      <c r="H216" s="1" t="s">
        <v>1555</v>
      </c>
      <c r="I216" t="s">
        <v>1556</v>
      </c>
      <c r="J216" s="1" t="s">
        <v>1557</v>
      </c>
      <c r="Q216" t="s">
        <v>1558</v>
      </c>
    </row>
    <row r="217" spans="1:17" ht="232" x14ac:dyDescent="0.35">
      <c r="A217" t="s">
        <v>1559</v>
      </c>
      <c r="B217" s="5">
        <v>35471</v>
      </c>
      <c r="E217" t="s">
        <v>1504</v>
      </c>
      <c r="F217" s="7">
        <f>91- 9121780650</f>
        <v>-9121780559</v>
      </c>
      <c r="G217" s="4" t="s">
        <v>1560</v>
      </c>
      <c r="H217" s="1" t="s">
        <v>1561</v>
      </c>
      <c r="I217" t="s">
        <v>252</v>
      </c>
      <c r="J217" s="1" t="s">
        <v>1562</v>
      </c>
      <c r="K217" t="s">
        <v>1509</v>
      </c>
      <c r="L217" t="s">
        <v>1303</v>
      </c>
      <c r="Q217" t="s">
        <v>1563</v>
      </c>
    </row>
    <row r="218" spans="1:17" ht="58" x14ac:dyDescent="0.35">
      <c r="A218" t="s">
        <v>1564</v>
      </c>
      <c r="B218" s="4" t="s">
        <v>1565</v>
      </c>
      <c r="C218" s="4" t="s">
        <v>1566</v>
      </c>
      <c r="E218" t="s">
        <v>1509</v>
      </c>
      <c r="F218" s="7">
        <v>917639655915</v>
      </c>
      <c r="G218" s="4" t="s">
        <v>1567</v>
      </c>
      <c r="H218" s="1" t="s">
        <v>1568</v>
      </c>
      <c r="I218" t="s">
        <v>1569</v>
      </c>
      <c r="J218" s="1" t="s">
        <v>1570</v>
      </c>
      <c r="K218" t="s">
        <v>1509</v>
      </c>
      <c r="L218" t="s">
        <v>1303</v>
      </c>
      <c r="M218" t="s">
        <v>418</v>
      </c>
      <c r="Q218" t="s">
        <v>1571</v>
      </c>
    </row>
    <row r="219" spans="1:17" ht="58" x14ac:dyDescent="0.35">
      <c r="A219" t="s">
        <v>1572</v>
      </c>
      <c r="E219" t="s">
        <v>1573</v>
      </c>
      <c r="F219" s="7" t="s">
        <v>1574</v>
      </c>
      <c r="G219" s="4" t="s">
        <v>1575</v>
      </c>
      <c r="H219" s="1" t="s">
        <v>1576</v>
      </c>
      <c r="I219" t="s">
        <v>287</v>
      </c>
      <c r="J219" s="1" t="s">
        <v>1577</v>
      </c>
      <c r="K219" t="s">
        <v>1578</v>
      </c>
      <c r="L219" t="s">
        <v>738</v>
      </c>
      <c r="Q219" t="s">
        <v>1579</v>
      </c>
    </row>
    <row r="220" spans="1:17" ht="101.5" x14ac:dyDescent="0.35">
      <c r="A220" t="s">
        <v>1580</v>
      </c>
      <c r="E220" t="s">
        <v>1581</v>
      </c>
      <c r="F220" s="7">
        <v>8237143001</v>
      </c>
      <c r="G220" s="4" t="s">
        <v>1582</v>
      </c>
      <c r="H220" s="1" t="s">
        <v>1583</v>
      </c>
      <c r="J220" s="1" t="s">
        <v>1584</v>
      </c>
      <c r="K220" t="s">
        <v>1003</v>
      </c>
      <c r="L220" t="s">
        <v>738</v>
      </c>
      <c r="Q220" t="s">
        <v>1585</v>
      </c>
    </row>
    <row r="221" spans="1:17" ht="72.5" x14ac:dyDescent="0.35">
      <c r="A221" t="s">
        <v>1586</v>
      </c>
      <c r="E221" t="s">
        <v>1504</v>
      </c>
      <c r="F221" s="7">
        <v>8124706811</v>
      </c>
      <c r="G221" s="4" t="s">
        <v>1587</v>
      </c>
      <c r="H221" s="1" t="s">
        <v>1588</v>
      </c>
      <c r="I221" t="s">
        <v>252</v>
      </c>
      <c r="J221" s="1" t="s">
        <v>1589</v>
      </c>
      <c r="K221" t="s">
        <v>1509</v>
      </c>
      <c r="P221" t="s">
        <v>1590</v>
      </c>
      <c r="Q221" t="s">
        <v>1591</v>
      </c>
    </row>
    <row r="222" spans="1:17" ht="58" x14ac:dyDescent="0.35">
      <c r="A222" t="s">
        <v>1592</v>
      </c>
      <c r="B222" s="4" t="s">
        <v>1593</v>
      </c>
      <c r="C222" s="4" t="s">
        <v>45</v>
      </c>
      <c r="D222" t="s">
        <v>1594</v>
      </c>
      <c r="F222" s="7"/>
      <c r="G222" s="4" t="s">
        <v>1595</v>
      </c>
      <c r="H222" s="1" t="s">
        <v>1596</v>
      </c>
      <c r="K222" t="s">
        <v>1597</v>
      </c>
      <c r="L222" t="s">
        <v>1598</v>
      </c>
      <c r="M222" t="s">
        <v>61</v>
      </c>
      <c r="Q222" t="s">
        <v>1599</v>
      </c>
    </row>
    <row r="223" spans="1:17" ht="58" x14ac:dyDescent="0.35">
      <c r="A223" t="s">
        <v>1600</v>
      </c>
      <c r="B223" s="4" t="s">
        <v>1601</v>
      </c>
      <c r="C223" s="4" t="s">
        <v>65</v>
      </c>
      <c r="D223" t="s">
        <v>1602</v>
      </c>
      <c r="F223" s="7" t="s">
        <v>1603</v>
      </c>
      <c r="G223" s="4" t="s">
        <v>1604</v>
      </c>
      <c r="H223" s="1" t="s">
        <v>1605</v>
      </c>
      <c r="I223" t="s">
        <v>1162</v>
      </c>
      <c r="J223" s="1" t="s">
        <v>1606</v>
      </c>
      <c r="K223" t="s">
        <v>1607</v>
      </c>
      <c r="L223" t="s">
        <v>25</v>
      </c>
      <c r="Q223" t="s">
        <v>1608</v>
      </c>
    </row>
    <row r="224" spans="1:17" ht="217.5" x14ac:dyDescent="0.35">
      <c r="A224" t="s">
        <v>1609</v>
      </c>
      <c r="D224" t="s">
        <v>1610</v>
      </c>
      <c r="F224" s="7">
        <v>8238315696</v>
      </c>
      <c r="G224" s="4" t="s">
        <v>1611</v>
      </c>
      <c r="H224" s="1" t="s">
        <v>1612</v>
      </c>
      <c r="I224" t="s">
        <v>22</v>
      </c>
      <c r="J224" s="1" t="s">
        <v>1613</v>
      </c>
      <c r="K224" t="s">
        <v>268</v>
      </c>
      <c r="L224" t="s">
        <v>25</v>
      </c>
      <c r="Q224" t="s">
        <v>1614</v>
      </c>
    </row>
    <row r="225" spans="1:17" ht="203" x14ac:dyDescent="0.35">
      <c r="A225" t="s">
        <v>1615</v>
      </c>
      <c r="B225" s="4" t="s">
        <v>1616</v>
      </c>
      <c r="C225" s="4" t="s">
        <v>141</v>
      </c>
      <c r="E225" t="s">
        <v>1617</v>
      </c>
      <c r="F225" s="7">
        <f>91-9586829277</f>
        <v>-9586829186</v>
      </c>
      <c r="G225" s="4" t="s">
        <v>1618</v>
      </c>
      <c r="H225" s="1" t="s">
        <v>1619</v>
      </c>
      <c r="J225" s="1" t="s">
        <v>1620</v>
      </c>
      <c r="K225" t="s">
        <v>268</v>
      </c>
      <c r="M225" t="s">
        <v>26</v>
      </c>
      <c r="Q225" t="s">
        <v>1621</v>
      </c>
    </row>
    <row r="226" spans="1:17" ht="87" x14ac:dyDescent="0.35">
      <c r="A226" t="s">
        <v>1622</v>
      </c>
      <c r="D226" t="s">
        <v>1623</v>
      </c>
      <c r="E226" t="s">
        <v>1623</v>
      </c>
      <c r="F226" s="7">
        <v>6351676731</v>
      </c>
      <c r="G226" s="4" t="s">
        <v>1624</v>
      </c>
      <c r="H226" s="1" t="s">
        <v>1625</v>
      </c>
      <c r="J226" s="1" t="s">
        <v>1626</v>
      </c>
      <c r="K226" t="s">
        <v>696</v>
      </c>
      <c r="L226" t="s">
        <v>25</v>
      </c>
      <c r="Q226" t="s">
        <v>1627</v>
      </c>
    </row>
    <row r="227" spans="1:17" ht="43.5" x14ac:dyDescent="0.35">
      <c r="A227" t="s">
        <v>1628</v>
      </c>
      <c r="B227" s="5">
        <v>37045</v>
      </c>
      <c r="F227" s="7">
        <v>9712414515</v>
      </c>
      <c r="G227" s="4" t="s">
        <v>1629</v>
      </c>
      <c r="H227" s="1" t="s">
        <v>1630</v>
      </c>
      <c r="K227" t="s">
        <v>98</v>
      </c>
      <c r="L227" t="s">
        <v>25</v>
      </c>
      <c r="M227" t="s">
        <v>26</v>
      </c>
      <c r="P227" t="s">
        <v>1631</v>
      </c>
      <c r="Q227" t="s">
        <v>1632</v>
      </c>
    </row>
    <row r="228" spans="1:17" ht="159.5" x14ac:dyDescent="0.35">
      <c r="A228" t="s">
        <v>1633</v>
      </c>
      <c r="D228" t="s">
        <v>1634</v>
      </c>
      <c r="E228" t="s">
        <v>1634</v>
      </c>
      <c r="F228" s="7">
        <v>9824884860</v>
      </c>
      <c r="G228" s="4" t="s">
        <v>1635</v>
      </c>
      <c r="H228" s="1" t="s">
        <v>1636</v>
      </c>
      <c r="I228" t="s">
        <v>1108</v>
      </c>
      <c r="J228" s="1" t="s">
        <v>1637</v>
      </c>
      <c r="K228" t="s">
        <v>491</v>
      </c>
      <c r="Q228" t="s">
        <v>1638</v>
      </c>
    </row>
    <row r="229" spans="1:17" ht="159.5" x14ac:dyDescent="0.35">
      <c r="A229" t="s">
        <v>1639</v>
      </c>
      <c r="B229" s="5">
        <v>38483</v>
      </c>
      <c r="C229" s="4" t="s">
        <v>1566</v>
      </c>
      <c r="D229" t="s">
        <v>1640</v>
      </c>
      <c r="F229" s="7">
        <v>919166069257</v>
      </c>
      <c r="G229" s="4" t="s">
        <v>1641</v>
      </c>
      <c r="H229" s="1" t="s">
        <v>1642</v>
      </c>
      <c r="J229" s="1" t="s">
        <v>1643</v>
      </c>
      <c r="K229" t="s">
        <v>59</v>
      </c>
      <c r="L229" t="s">
        <v>304</v>
      </c>
      <c r="Q229" t="s">
        <v>1644</v>
      </c>
    </row>
    <row r="230" spans="1:17" ht="43.5" x14ac:dyDescent="0.35">
      <c r="A230" t="s">
        <v>1645</v>
      </c>
      <c r="B230" s="6">
        <v>38998</v>
      </c>
      <c r="C230" s="4" t="s">
        <v>65</v>
      </c>
      <c r="D230" t="s">
        <v>1646</v>
      </c>
      <c r="F230" s="7">
        <v>9352204723</v>
      </c>
      <c r="G230" s="4" t="s">
        <v>1647</v>
      </c>
      <c r="H230" s="1" t="s">
        <v>1648</v>
      </c>
      <c r="J230" s="1" t="s">
        <v>1649</v>
      </c>
      <c r="K230" t="s">
        <v>1650</v>
      </c>
      <c r="L230" t="s">
        <v>304</v>
      </c>
      <c r="M230" t="s">
        <v>26</v>
      </c>
      <c r="P230" t="s">
        <v>1651</v>
      </c>
      <c r="Q230" t="s">
        <v>1652</v>
      </c>
    </row>
    <row r="231" spans="1:17" ht="58" x14ac:dyDescent="0.35">
      <c r="A231" t="s">
        <v>1653</v>
      </c>
      <c r="E231" t="s">
        <v>491</v>
      </c>
      <c r="F231" s="7">
        <v>9725676845</v>
      </c>
      <c r="G231" s="4" t="s">
        <v>1654</v>
      </c>
      <c r="H231" s="1" t="s">
        <v>1655</v>
      </c>
      <c r="J231" s="1" t="s">
        <v>1656</v>
      </c>
      <c r="K231" t="s">
        <v>491</v>
      </c>
      <c r="Q231" t="s">
        <v>1657</v>
      </c>
    </row>
    <row r="232" spans="1:17" ht="174" x14ac:dyDescent="0.35">
      <c r="A232" t="s">
        <v>1658</v>
      </c>
      <c r="E232" t="s">
        <v>1659</v>
      </c>
      <c r="F232" s="7" t="s">
        <v>1660</v>
      </c>
      <c r="G232" s="4" t="s">
        <v>1661</v>
      </c>
      <c r="H232" s="1" t="s">
        <v>1662</v>
      </c>
      <c r="I232" t="s">
        <v>1663</v>
      </c>
      <c r="J232" s="1" t="s">
        <v>1664</v>
      </c>
      <c r="K232" t="s">
        <v>336</v>
      </c>
      <c r="Q232" t="s">
        <v>1665</v>
      </c>
    </row>
    <row r="233" spans="1:17" ht="362.5" x14ac:dyDescent="0.35">
      <c r="A233" t="s">
        <v>1666</v>
      </c>
      <c r="B233" s="6">
        <v>33239</v>
      </c>
      <c r="D233" t="s">
        <v>1667</v>
      </c>
      <c r="E233" t="s">
        <v>1668</v>
      </c>
      <c r="F233" s="7" t="s">
        <v>1669</v>
      </c>
      <c r="G233" s="4" t="s">
        <v>1670</v>
      </c>
      <c r="H233" s="1" t="s">
        <v>1671</v>
      </c>
      <c r="I233" t="s">
        <v>621</v>
      </c>
      <c r="J233" s="1" t="s">
        <v>1672</v>
      </c>
      <c r="K233" t="s">
        <v>1673</v>
      </c>
      <c r="L233" t="s">
        <v>87</v>
      </c>
      <c r="Q233" t="s">
        <v>1674</v>
      </c>
    </row>
    <row r="234" spans="1:17" ht="101.5" x14ac:dyDescent="0.35">
      <c r="A234" t="s">
        <v>1675</v>
      </c>
      <c r="B234" s="4" t="s">
        <v>1676</v>
      </c>
      <c r="D234" t="s">
        <v>1677</v>
      </c>
      <c r="E234" t="s">
        <v>1677</v>
      </c>
      <c r="F234" s="7" t="s">
        <v>1678</v>
      </c>
      <c r="G234" s="4" t="s">
        <v>1679</v>
      </c>
      <c r="H234" s="1" t="s">
        <v>1680</v>
      </c>
      <c r="J234" s="1" t="s">
        <v>1681</v>
      </c>
      <c r="K234" t="s">
        <v>268</v>
      </c>
      <c r="L234" t="s">
        <v>25</v>
      </c>
      <c r="M234" t="s">
        <v>26</v>
      </c>
      <c r="Q234" t="s">
        <v>1682</v>
      </c>
    </row>
    <row r="235" spans="1:17" ht="58" x14ac:dyDescent="0.35">
      <c r="A235" t="s">
        <v>1683</v>
      </c>
      <c r="B235" s="4" t="s">
        <v>1684</v>
      </c>
      <c r="C235" s="4" t="s">
        <v>65</v>
      </c>
      <c r="D235" t="s">
        <v>1685</v>
      </c>
      <c r="F235" s="7" t="s">
        <v>1686</v>
      </c>
      <c r="G235" s="4" t="s">
        <v>1687</v>
      </c>
      <c r="H235" s="1" t="s">
        <v>1688</v>
      </c>
      <c r="K235" t="s">
        <v>1689</v>
      </c>
      <c r="L235" t="s">
        <v>304</v>
      </c>
      <c r="M235" t="s">
        <v>26</v>
      </c>
      <c r="Q235" t="s">
        <v>1690</v>
      </c>
    </row>
    <row r="236" spans="1:17" ht="87" x14ac:dyDescent="0.35">
      <c r="A236" t="s">
        <v>1691</v>
      </c>
      <c r="B236" s="4" t="s">
        <v>1692</v>
      </c>
      <c r="C236" s="4" t="s">
        <v>65</v>
      </c>
      <c r="D236" t="s">
        <v>1693</v>
      </c>
      <c r="F236" s="7">
        <v>6355173928</v>
      </c>
      <c r="G236" s="4" t="s">
        <v>1694</v>
      </c>
      <c r="H236" s="1" t="s">
        <v>1695</v>
      </c>
      <c r="J236" s="1" t="s">
        <v>1696</v>
      </c>
      <c r="K236" t="s">
        <v>1697</v>
      </c>
      <c r="L236" t="s">
        <v>25</v>
      </c>
      <c r="M236" t="s">
        <v>26</v>
      </c>
      <c r="Q236" t="s">
        <v>1698</v>
      </c>
    </row>
    <row r="237" spans="1:17" ht="43.5" x14ac:dyDescent="0.35">
      <c r="A237" t="s">
        <v>1699</v>
      </c>
      <c r="B237" s="4" t="s">
        <v>1700</v>
      </c>
      <c r="C237" s="4" t="s">
        <v>45</v>
      </c>
      <c r="D237" t="s">
        <v>1701</v>
      </c>
      <c r="F237" s="7">
        <v>919883429269</v>
      </c>
      <c r="G237" s="4" t="s">
        <v>1702</v>
      </c>
      <c r="H237" s="1" t="s">
        <v>1703</v>
      </c>
      <c r="K237" t="s">
        <v>1597</v>
      </c>
      <c r="L237" t="s">
        <v>1598</v>
      </c>
      <c r="M237" t="s">
        <v>61</v>
      </c>
      <c r="Q237" t="s">
        <v>1704</v>
      </c>
    </row>
    <row r="238" spans="1:17" ht="72.5" x14ac:dyDescent="0.35">
      <c r="A238" t="s">
        <v>1705</v>
      </c>
      <c r="E238" t="s">
        <v>1706</v>
      </c>
      <c r="F238" s="7">
        <v>919737655061</v>
      </c>
      <c r="G238" s="4" t="s">
        <v>1707</v>
      </c>
      <c r="H238" s="1" t="s">
        <v>1708</v>
      </c>
      <c r="J238" s="1" t="s">
        <v>1709</v>
      </c>
      <c r="K238" t="s">
        <v>491</v>
      </c>
      <c r="L238" t="s">
        <v>25</v>
      </c>
      <c r="Q238" t="s">
        <v>1710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final_output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AZAZ SHAIKH</cp:lastModifiedBy>
  <dcterms:created xsi:type="dcterms:W3CDTF">2025-12-09T04:33:58Z</dcterms:created>
  <dcterms:modified xsi:type="dcterms:W3CDTF">2025-12-09T04:34:27Z</dcterms:modified>
</cp:coreProperties>
</file>